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  <sheet name="Fees" sheetId="2" r:id="rId2"/>
    <sheet name="Products" sheetId="3" r:id="rId3"/>
    <sheet name="READ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70.83203125" customWidth="1"/>
    <col min="2" max="2" width="14.83203125" customWidth="1"/>
    <col min="3" max="3" width="70.83203125" customWidth="1"/>
  </cols>
  <sheetData>
    <row r="1">
      <c r="A1" t="str">
        <v>الإعداد</v>
      </c>
      <c r="B1" t="str">
        <v>القيمة</v>
      </c>
      <c r="C1" t="str">
        <v>المصدر / ملاحظة</v>
      </c>
    </row>
    <row r="2">
      <c r="A2" t="str">
        <v>نسبة VAT على رسوم المنصة (مثال 0.05 إن كانت تنطبق) — اتركها فارغة إن لم تُحسم</v>
      </c>
      <c r="C2" t="str">
        <v>تُحسم مع المحاسب؛ رسوم المنصتين تُعرض دون VAT ويُضاف VAT عليها</v>
      </c>
    </row>
    <row r="3">
      <c r="A3" t="str">
        <v>noon FBN — تخزين شهري لكل قدم³ (د)</v>
      </c>
      <c r="B3">
        <v>1.75</v>
      </c>
      <c r="C3" t="str">
        <v>noon FBN fees page، نافذ من 1/10/2026</v>
      </c>
    </row>
    <row r="4">
      <c r="A4" t="str">
        <v>Amazon FBA — تخزين شهري لكل قدم³ (د)</v>
      </c>
      <c r="B4">
        <v>2</v>
      </c>
      <c r="C4" t="str">
        <v>sell.amazon.ae/pricing (قد يكون قديماً — C-17)</v>
      </c>
    </row>
    <row r="5">
      <c r="A5" t="str">
        <v>عتبة سعر العمولة (د)</v>
      </c>
      <c r="B5">
        <v>50</v>
      </c>
      <c r="C5" t="str">
        <v>الجمال/العناية: 8% حتى العتبة و15% فوقها على السعر كله</v>
      </c>
    </row>
    <row r="6">
      <c r="A6" t="str">
        <v>نسبة العمولة المنخفضة</v>
      </c>
      <c r="B6">
        <v>0.08</v>
      </c>
      <c r="C6" t="str">
        <v>noon + Amazon</v>
      </c>
    </row>
    <row r="7">
      <c r="A7" t="str">
        <v>نسبة العمولة العالية</v>
      </c>
      <c r="B7">
        <v>0.15</v>
      </c>
      <c r="C7" t="str">
        <v>noon + Amazon</v>
      </c>
    </row>
    <row r="8">
      <c r="A8" t="str">
        <v>حد أدنى للعمولة (د)</v>
      </c>
      <c r="B8">
        <v>1</v>
      </c>
      <c r="C8" t="str">
        <v>noon + Amazon</v>
      </c>
    </row>
    <row r="9">
      <c r="A9" t="str">
        <v>عتبة سعر رسم الشحن (د)</v>
      </c>
      <c r="B9">
        <v>25</v>
      </c>
      <c r="C9" t="str">
        <v>FBN/FBA: عمود ≤25 أو &gt;25 درهم</v>
      </c>
    </row>
    <row r="10">
      <c r="A10" t="str">
        <v>قدم³ بالسنتيمتر³</v>
      </c>
      <c r="B10">
        <v>28316.84</v>
      </c>
      <c r="C10" t="str">
        <v>Amazon + noon (28317)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46.83203125" customWidth="1"/>
    <col min="2" max="2" width="14.83203125" customWidth="1"/>
    <col min="3" max="3" width="14.83203125" customWidth="1"/>
  </cols>
  <sheetData>
    <row r="1">
      <c r="A1" t="str">
        <v>noon FBN (من 10/9/2026) — Standard parcel</v>
      </c>
      <c r="B1" t="str">
        <v/>
      </c>
      <c r="C1" t="str">
        <v/>
      </c>
    </row>
    <row r="2">
      <c r="A2" t="str">
        <v>الوزن الأعلى (كغ)</v>
      </c>
      <c r="B2" t="str">
        <v>سعر ≤25 د</v>
      </c>
      <c r="C2" t="str">
        <v>سعر &gt;25 د</v>
      </c>
    </row>
    <row r="3">
      <c r="A3">
        <v>0.25</v>
      </c>
      <c r="B3">
        <v>7.2</v>
      </c>
      <c r="C3">
        <v>9.2</v>
      </c>
    </row>
    <row r="4">
      <c r="A4">
        <v>0.5</v>
      </c>
      <c r="B4">
        <v>7.5</v>
      </c>
      <c r="C4">
        <v>9.5</v>
      </c>
    </row>
    <row r="5">
      <c r="A5">
        <v>1</v>
      </c>
      <c r="B5">
        <v>8.5</v>
      </c>
      <c r="C5">
        <v>10.5</v>
      </c>
    </row>
    <row r="6">
      <c r="A6">
        <v>1.5</v>
      </c>
      <c r="B6">
        <v>9</v>
      </c>
      <c r="C6">
        <v>11</v>
      </c>
    </row>
    <row r="7">
      <c r="A7">
        <v>2</v>
      </c>
      <c r="B7">
        <v>9.5</v>
      </c>
      <c r="C7">
        <v>11.5</v>
      </c>
    </row>
    <row r="8">
      <c r="A8">
        <v>3</v>
      </c>
      <c r="B8">
        <v>10.5</v>
      </c>
      <c r="C8">
        <v>12.5</v>
      </c>
    </row>
    <row r="10">
      <c r="A10" t="str">
        <v>Amazon FBA (سارية من 1/8/2025) — Standard parcel</v>
      </c>
      <c r="B10" t="str">
        <v/>
      </c>
      <c r="C10" t="str">
        <v/>
      </c>
    </row>
    <row r="11">
      <c r="A11" t="str">
        <v>الوزن الأعلى (كغ)</v>
      </c>
      <c r="B11" t="str">
        <v>سعر ≤25 د</v>
      </c>
      <c r="C11" t="str">
        <v>سعر &gt;25 د</v>
      </c>
    </row>
    <row r="12">
      <c r="A12">
        <v>0.25</v>
      </c>
      <c r="B12">
        <v>7.2</v>
      </c>
      <c r="C12">
        <v>9.2</v>
      </c>
    </row>
    <row r="13">
      <c r="A13">
        <v>0.5</v>
      </c>
      <c r="B13">
        <v>7.5</v>
      </c>
      <c r="C13">
        <v>9.5</v>
      </c>
    </row>
    <row r="14">
      <c r="A14">
        <v>1</v>
      </c>
      <c r="B14">
        <v>8.5</v>
      </c>
      <c r="C14">
        <v>10.5</v>
      </c>
    </row>
    <row r="15">
      <c r="A15">
        <v>1.5</v>
      </c>
      <c r="B15">
        <v>9</v>
      </c>
      <c r="C15">
        <v>11</v>
      </c>
    </row>
    <row r="16">
      <c r="A16">
        <v>2</v>
      </c>
      <c r="B16">
        <v>9.5</v>
      </c>
      <c r="C16">
        <v>11.5</v>
      </c>
    </row>
    <row r="17">
      <c r="A17">
        <v>3</v>
      </c>
      <c r="B17">
        <v>10.5</v>
      </c>
      <c r="C17">
        <v>12.5</v>
      </c>
    </row>
    <row r="19">
      <c r="A19" t="str">
        <v>ملاحظة: المغلفات (Envelope) والأوزان &gt;3 كغ تُدخل يدوياً في عمود Override. الأرقام من الصفحات الرسمية بتاريخ 10/10/2026.</v>
      </c>
    </row>
  </sheetData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27"/>
  <sheetViews>
    <sheetView workbookViewId="0"/>
  </sheetViews>
  <cols>
    <col min="1" max="1" width="34.83203125" customWidth="1"/>
    <col min="2" max="2" width="34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</cols>
  <sheetData>
    <row r="1">
      <c r="A1" t="str">
        <v>SKU</v>
      </c>
      <c r="B1" t="str">
        <v>المنتج</v>
      </c>
      <c r="C1" t="str">
        <v>الحجم (كتالوج)</v>
      </c>
      <c r="D1" t="str">
        <v>سعر البيع د (إدخال)</v>
      </c>
      <c r="E1" t="str">
        <v>وزن العبوة مع الكرتون كغ (إدخال)</v>
      </c>
      <c r="F1" t="str">
        <v>طول سم</v>
      </c>
      <c r="G1" t="str">
        <v>عرض سم</v>
      </c>
      <c r="H1" t="str">
        <v>ارتفاع سم</v>
      </c>
      <c r="I1" t="str">
        <v>تكلفة المنتج COGS د/وحدة</v>
      </c>
      <c r="J1" t="str">
        <v>شحن للمستودع د/وحدة</v>
      </c>
      <c r="K1" t="str">
        <v>أشهر التخزين (متوسط)</v>
      </c>
      <c r="L1" t="str">
        <v>إعلانات د/وحدة</v>
      </c>
      <c r="M1" t="str">
        <v>تكاليف أخرى د/وحدة</v>
      </c>
      <c r="N1" t="str">
        <v>Override شحن noon د</v>
      </c>
      <c r="O1" t="str">
        <v>Override شحن Amazon د</v>
      </c>
      <c r="P1" t="str">
        <v>الناقص</v>
      </c>
      <c r="Q1" t="str">
        <v>قدم³</v>
      </c>
      <c r="R1" t="str">
        <v>نسبة العمولة</v>
      </c>
      <c r="S1" t="str">
        <v>عمولة د</v>
      </c>
      <c r="T1" t="str">
        <v>noon: شحن/تجهيز د</v>
      </c>
      <c r="U1" t="str">
        <v>noon: تخزين د</v>
      </c>
      <c r="V1" t="str">
        <v>noon: VAT على الرسوم د</v>
      </c>
      <c r="W1" t="str">
        <v>noon: صافي الربح د</v>
      </c>
      <c r="X1" t="str">
        <v>noon: هامش %</v>
      </c>
      <c r="Y1" t="str">
        <v>Amazon: شحن/تجهيز د</v>
      </c>
      <c r="Z1" t="str">
        <v>Amazon: تخزين د</v>
      </c>
      <c r="AA1" t="str">
        <v>Amazon: VAT على الرسوم د</v>
      </c>
      <c r="AB1" t="str">
        <v>Amazon: صافي الربح د</v>
      </c>
      <c r="AC1" t="str">
        <v>Amazon: هامش %</v>
      </c>
    </row>
    <row r="2">
      <c r="A2" t="str">
        <v>LW-FC-201</v>
      </c>
      <c r="B2" t="str">
        <v>Oily &amp; Sensitive Skin Cleanser Gel</v>
      </c>
      <c r="C2" t="str">
        <v>250 ml (8.45 fl.oz)</v>
      </c>
      <c r="P2" t="str">
        <f>IF(D2="","السعر ","")&amp;IF(E2="","الوزن ","")&amp;IF(COUNT(F2:H2)&lt;3,"الأبعاد ","")&amp;IF(I2="","COGS ","")&amp;IF(J2="","شحن-مستودع ","")&amp;IF(K2="","أشهر-تخزين ","")&amp;IF(Settings!$B$2="","VAT ","")</f>
        <v/>
      </c>
      <c r="Q2" t="str">
        <f>IF(COUNT(F2:H2)=3,F2*G2*H2/Settings!$B$10,"")</f>
        <v/>
      </c>
      <c r="R2" t="str">
        <f>IF(D2="","",IF(D2&lt;=Settings!$B$5,Settings!$B$6,Settings!$B$7))</f>
        <v/>
      </c>
      <c r="S2" t="str">
        <f>IF(D2="","",MAX(Settings!$B$8,R2*D2))</f>
        <v/>
      </c>
      <c r="T2" t="str">
        <f>IF(N2&lt;&gt;"",N2,IF(OR(D2="",E2=""),"",IF(E2&gt;3,"",IF(D2&lt;=Settings!$B$9,INDEX(Fees!$B$3:$B$8,COUNTIF(Fees!$A$3:$A$8,"&lt;"&amp;E2)+1),INDEX(Fees!$C$3:$C$8,COUNTIF(Fees!$A$3:$A$8,"&lt;"&amp;E2)+1)))))</f>
        <v/>
      </c>
      <c r="U2" t="str">
        <f>IF(OR(Q2="",K2=""),"",Q2*Settings!$B$3*K2)</f>
        <v/>
      </c>
      <c r="V2" t="str">
        <f>IF(OR(S2="",T2="",U2="",Settings!$B$2=""),"",Settings!$B$2*(S2+T2+U2))</f>
        <v/>
      </c>
      <c r="W2" t="str">
        <f>IF(OR(P2&lt;&gt;"",S2="",T2="",U2="",V2=""),"",D2-S2-T2-U2-V2-I2-J2-N(L2)-N(M2))</f>
        <v/>
      </c>
      <c r="X2" t="str">
        <f>IF(W2="","",W2/D2)</f>
        <v/>
      </c>
      <c r="Y2" t="str">
        <f>IF(O2&lt;&gt;"",O2,IF(OR(D2="",E2=""),"",IF(E2&gt;3,"",IF(D2&lt;=Settings!$B$9,INDEX(Fees!$B$12:$B$17,COUNTIF(Fees!$A$12:$A$17,"&lt;"&amp;E2)+1),INDEX(Fees!$C$12:$C$17,COUNTIF(Fees!$A$12:$A$17,"&lt;"&amp;E2)+1)))))</f>
        <v/>
      </c>
      <c r="Z2" t="str">
        <f>IF(OR(Q2="",K2=""),"",Q2*Settings!$B$4*K2)</f>
        <v/>
      </c>
      <c r="AA2" t="str">
        <f>IF(OR(S2="",Y2="",Z2="",Settings!$B$2=""),"",Settings!$B$2*(S2+Y2+Z2))</f>
        <v/>
      </c>
      <c r="AB2" t="str">
        <f>IF(OR(P2&lt;&gt;"",S2="",Y2="",Z2="",AA2=""),"",D2-S2-Y2-Z2-AA2-I2-J2-N(L2)-N(M2))</f>
        <v/>
      </c>
      <c r="AC2" t="str">
        <f>IF(AB2="","",AB2/D2)</f>
        <v/>
      </c>
    </row>
    <row r="3">
      <c r="A3" t="str">
        <v>LW-FC-202</v>
      </c>
      <c r="B3" t="str">
        <v>Normal &amp; Dry Skin Cleanser Gel</v>
      </c>
      <c r="C3" t="str">
        <v>250 ml (8.45 fl.oz)</v>
      </c>
      <c r="P3" t="str">
        <f>IF(D3="","السعر ","")&amp;IF(E3="","الوزن ","")&amp;IF(COUNT(F3:H3)&lt;3,"الأبعاد ","")&amp;IF(I3="","COGS ","")&amp;IF(J3="","شحن-مستودع ","")&amp;IF(K3="","أشهر-تخزين ","")&amp;IF(Settings!$B$2="","VAT ","")</f>
        <v/>
      </c>
      <c r="Q3" t="str">
        <f>IF(COUNT(F3:H3)=3,F3*G3*H3/Settings!$B$10,"")</f>
        <v/>
      </c>
      <c r="R3" t="str">
        <f>IF(D3="","",IF(D3&lt;=Settings!$B$5,Settings!$B$6,Settings!$B$7))</f>
        <v/>
      </c>
      <c r="S3" t="str">
        <f>IF(D3="","",MAX(Settings!$B$8,R3*D3))</f>
        <v/>
      </c>
      <c r="T3" t="str">
        <f>IF(N3&lt;&gt;"",N3,IF(OR(D3="",E3=""),"",IF(E3&gt;3,"",IF(D3&lt;=Settings!$B$9,INDEX(Fees!$B$3:$B$8,COUNTIF(Fees!$A$3:$A$8,"&lt;"&amp;E3)+1),INDEX(Fees!$C$3:$C$8,COUNTIF(Fees!$A$3:$A$8,"&lt;"&amp;E3)+1)))))</f>
        <v/>
      </c>
      <c r="U3" t="str">
        <f>IF(OR(Q3="",K3=""),"",Q3*Settings!$B$3*K3)</f>
        <v/>
      </c>
      <c r="V3" t="str">
        <f>IF(OR(S3="",T3="",U3="",Settings!$B$2=""),"",Settings!$B$2*(S3+T3+U3))</f>
        <v/>
      </c>
      <c r="W3" t="str">
        <f>IF(OR(P3&lt;&gt;"",S3="",T3="",U3="",V3=""),"",D3-S3-T3-U3-V3-I3-J3-N(L3)-N(M3))</f>
        <v/>
      </c>
      <c r="X3" t="str">
        <f>IF(W3="","",W3/D3)</f>
        <v/>
      </c>
      <c r="Y3" t="str">
        <f>IF(O3&lt;&gt;"",O3,IF(OR(D3="",E3=""),"",IF(E3&gt;3,"",IF(D3&lt;=Settings!$B$9,INDEX(Fees!$B$12:$B$17,COUNTIF(Fees!$A$12:$A$17,"&lt;"&amp;E3)+1),INDEX(Fees!$C$12:$C$17,COUNTIF(Fees!$A$12:$A$17,"&lt;"&amp;E3)+1)))))</f>
        <v/>
      </c>
      <c r="Z3" t="str">
        <f>IF(OR(Q3="",K3=""),"",Q3*Settings!$B$4*K3)</f>
        <v/>
      </c>
      <c r="AA3" t="str">
        <f>IF(OR(S3="",Y3="",Z3="",Settings!$B$2=""),"",Settings!$B$2*(S3+Y3+Z3))</f>
        <v/>
      </c>
      <c r="AB3" t="str">
        <f>IF(OR(P3&lt;&gt;"",S3="",Y3="",Z3="",AA3=""),"",D3-S3-Y3-Z3-AA3-I3-J3-N(L3)-N(M3))</f>
        <v/>
      </c>
      <c r="AC3" t="str">
        <f>IF(AB3="","",AB3/D3)</f>
        <v/>
      </c>
    </row>
    <row r="4">
      <c r="A4" t="str">
        <v>LW-FC-203</v>
      </c>
      <c r="B4" t="str">
        <v>Pore Tightening &amp; Purifying Toner</v>
      </c>
      <c r="C4" t="str">
        <v>250 ml (8.45 fl.oz)</v>
      </c>
      <c r="P4" t="str">
        <f>IF(D4="","السعر ","")&amp;IF(E4="","الوزن ","")&amp;IF(COUNT(F4:H4)&lt;3,"الأبعاد ","")&amp;IF(I4="","COGS ","")&amp;IF(J4="","شحن-مستودع ","")&amp;IF(K4="","أشهر-تخزين ","")&amp;IF(Settings!$B$2="","VAT ","")</f>
        <v/>
      </c>
      <c r="Q4" t="str">
        <f>IF(COUNT(F4:H4)=3,F4*G4*H4/Settings!$B$10,"")</f>
        <v/>
      </c>
      <c r="R4" t="str">
        <f>IF(D4="","",IF(D4&lt;=Settings!$B$5,Settings!$B$6,Settings!$B$7))</f>
        <v/>
      </c>
      <c r="S4" t="str">
        <f>IF(D4="","",MAX(Settings!$B$8,R4*D4))</f>
        <v/>
      </c>
      <c r="T4" t="str">
        <f>IF(N4&lt;&gt;"",N4,IF(OR(D4="",E4=""),"",IF(E4&gt;3,"",IF(D4&lt;=Settings!$B$9,INDEX(Fees!$B$3:$B$8,COUNTIF(Fees!$A$3:$A$8,"&lt;"&amp;E4)+1),INDEX(Fees!$C$3:$C$8,COUNTIF(Fees!$A$3:$A$8,"&lt;"&amp;E4)+1)))))</f>
        <v/>
      </c>
      <c r="U4" t="str">
        <f>IF(OR(Q4="",K4=""),"",Q4*Settings!$B$3*K4)</f>
        <v/>
      </c>
      <c r="V4" t="str">
        <f>IF(OR(S4="",T4="",U4="",Settings!$B$2=""),"",Settings!$B$2*(S4+T4+U4))</f>
        <v/>
      </c>
      <c r="W4" t="str">
        <f>IF(OR(P4&lt;&gt;"",S4="",T4="",U4="",V4=""),"",D4-S4-T4-U4-V4-I4-J4-N(L4)-N(M4))</f>
        <v/>
      </c>
      <c r="X4" t="str">
        <f>IF(W4="","",W4/D4)</f>
        <v/>
      </c>
      <c r="Y4" t="str">
        <f>IF(O4&lt;&gt;"",O4,IF(OR(D4="",E4=""),"",IF(E4&gt;3,"",IF(D4&lt;=Settings!$B$9,INDEX(Fees!$B$12:$B$17,COUNTIF(Fees!$A$12:$A$17,"&lt;"&amp;E4)+1),INDEX(Fees!$C$12:$C$17,COUNTIF(Fees!$A$12:$A$17,"&lt;"&amp;E4)+1)))))</f>
        <v/>
      </c>
      <c r="Z4" t="str">
        <f>IF(OR(Q4="",K4=""),"",Q4*Settings!$B$4*K4)</f>
        <v/>
      </c>
      <c r="AA4" t="str">
        <f>IF(OR(S4="",Y4="",Z4="",Settings!$B$2=""),"",Settings!$B$2*(S4+Y4+Z4))</f>
        <v/>
      </c>
      <c r="AB4" t="str">
        <f>IF(OR(P4&lt;&gt;"",S4="",Y4="",Z4="",AA4=""),"",D4-S4-Y4-Z4-AA4-I4-J4-N(L4)-N(M4))</f>
        <v/>
      </c>
      <c r="AC4" t="str">
        <f>IF(AB4="","",AB4/D4)</f>
        <v/>
      </c>
    </row>
    <row r="5">
      <c r="A5" t="str">
        <v>LW-FC-204</v>
      </c>
      <c r="B5" t="str">
        <v>Facial Peeling Gel</v>
      </c>
      <c r="C5" t="str">
        <v>100 ml (3.38 fl.oz)</v>
      </c>
      <c r="P5" t="str">
        <f>IF(D5="","السعر ","")&amp;IF(E5="","الوزن ","")&amp;IF(COUNT(F5:H5)&lt;3,"الأبعاد ","")&amp;IF(I5="","COGS ","")&amp;IF(J5="","شحن-مستودع ","")&amp;IF(K5="","أشهر-تخزين ","")&amp;IF(Settings!$B$2="","VAT ","")</f>
        <v/>
      </c>
      <c r="Q5" t="str">
        <f>IF(COUNT(F5:H5)=3,F5*G5*H5/Settings!$B$10,"")</f>
        <v/>
      </c>
      <c r="R5" t="str">
        <f>IF(D5="","",IF(D5&lt;=Settings!$B$5,Settings!$B$6,Settings!$B$7))</f>
        <v/>
      </c>
      <c r="S5" t="str">
        <f>IF(D5="","",MAX(Settings!$B$8,R5*D5))</f>
        <v/>
      </c>
      <c r="T5" t="str">
        <f>IF(N5&lt;&gt;"",N5,IF(OR(D5="",E5=""),"",IF(E5&gt;3,"",IF(D5&lt;=Settings!$B$9,INDEX(Fees!$B$3:$B$8,COUNTIF(Fees!$A$3:$A$8,"&lt;"&amp;E5)+1),INDEX(Fees!$C$3:$C$8,COUNTIF(Fees!$A$3:$A$8,"&lt;"&amp;E5)+1)))))</f>
        <v/>
      </c>
      <c r="U5" t="str">
        <f>IF(OR(Q5="",K5=""),"",Q5*Settings!$B$3*K5)</f>
        <v/>
      </c>
      <c r="V5" t="str">
        <f>IF(OR(S5="",T5="",U5="",Settings!$B$2=""),"",Settings!$B$2*(S5+T5+U5))</f>
        <v/>
      </c>
      <c r="W5" t="str">
        <f>IF(OR(P5&lt;&gt;"",S5="",T5="",U5="",V5=""),"",D5-S5-T5-U5-V5-I5-J5-N(L5)-N(M5))</f>
        <v/>
      </c>
      <c r="X5" t="str">
        <f>IF(W5="","",W5/D5)</f>
        <v/>
      </c>
      <c r="Y5" t="str">
        <f>IF(O5&lt;&gt;"",O5,IF(OR(D5="",E5=""),"",IF(E5&gt;3,"",IF(D5&lt;=Settings!$B$9,INDEX(Fees!$B$12:$B$17,COUNTIF(Fees!$A$12:$A$17,"&lt;"&amp;E5)+1),INDEX(Fees!$C$12:$C$17,COUNTIF(Fees!$A$12:$A$17,"&lt;"&amp;E5)+1)))))</f>
        <v/>
      </c>
      <c r="Z5" t="str">
        <f>IF(OR(Q5="",K5=""),"",Q5*Settings!$B$4*K5)</f>
        <v/>
      </c>
      <c r="AA5" t="str">
        <f>IF(OR(S5="",Y5="",Z5="",Settings!$B$2=""),"",Settings!$B$2*(S5+Y5+Z5))</f>
        <v/>
      </c>
      <c r="AB5" t="str">
        <f>IF(OR(P5&lt;&gt;"",S5="",Y5="",Z5="",AA5=""),"",D5-S5-Y5-Z5-AA5-I5-J5-N(L5)-N(M5))</f>
        <v/>
      </c>
      <c r="AC5" t="str">
        <f>IF(AB5="","",AB5/D5)</f>
        <v/>
      </c>
    </row>
    <row r="6">
      <c r="A6" t="str">
        <v>LW-SR-101</v>
      </c>
      <c r="B6" t="str">
        <v>Vitamin C Serum</v>
      </c>
      <c r="C6" t="str">
        <v>30 ml (1.00 fl.oz)</v>
      </c>
      <c r="P6" t="str">
        <f>IF(D6="","السعر ","")&amp;IF(E6="","الوزن ","")&amp;IF(COUNT(F6:H6)&lt;3,"الأبعاد ","")&amp;IF(I6="","COGS ","")&amp;IF(J6="","شحن-مستودع ","")&amp;IF(K6="","أشهر-تخزين ","")&amp;IF(Settings!$B$2="","VAT ","")</f>
        <v/>
      </c>
      <c r="Q6" t="str">
        <f>IF(COUNT(F6:H6)=3,F6*G6*H6/Settings!$B$10,"")</f>
        <v/>
      </c>
      <c r="R6" t="str">
        <f>IF(D6="","",IF(D6&lt;=Settings!$B$5,Settings!$B$6,Settings!$B$7))</f>
        <v/>
      </c>
      <c r="S6" t="str">
        <f>IF(D6="","",MAX(Settings!$B$8,R6*D6))</f>
        <v/>
      </c>
      <c r="T6" t="str">
        <f>IF(N6&lt;&gt;"",N6,IF(OR(D6="",E6=""),"",IF(E6&gt;3,"",IF(D6&lt;=Settings!$B$9,INDEX(Fees!$B$3:$B$8,COUNTIF(Fees!$A$3:$A$8,"&lt;"&amp;E6)+1),INDEX(Fees!$C$3:$C$8,COUNTIF(Fees!$A$3:$A$8,"&lt;"&amp;E6)+1)))))</f>
        <v/>
      </c>
      <c r="U6" t="str">
        <f>IF(OR(Q6="",K6=""),"",Q6*Settings!$B$3*K6)</f>
        <v/>
      </c>
      <c r="V6" t="str">
        <f>IF(OR(S6="",T6="",U6="",Settings!$B$2=""),"",Settings!$B$2*(S6+T6+U6))</f>
        <v/>
      </c>
      <c r="W6" t="str">
        <f>IF(OR(P6&lt;&gt;"",S6="",T6="",U6="",V6=""),"",D6-S6-T6-U6-V6-I6-J6-N(L6)-N(M6))</f>
        <v/>
      </c>
      <c r="X6" t="str">
        <f>IF(W6="","",W6/D6)</f>
        <v/>
      </c>
      <c r="Y6" t="str">
        <f>IF(O6&lt;&gt;"",O6,IF(OR(D6="",E6=""),"",IF(E6&gt;3,"",IF(D6&lt;=Settings!$B$9,INDEX(Fees!$B$12:$B$17,COUNTIF(Fees!$A$12:$A$17,"&lt;"&amp;E6)+1),INDEX(Fees!$C$12:$C$17,COUNTIF(Fees!$A$12:$A$17,"&lt;"&amp;E6)+1)))))</f>
        <v/>
      </c>
      <c r="Z6" t="str">
        <f>IF(OR(Q6="",K6=""),"",Q6*Settings!$B$4*K6)</f>
        <v/>
      </c>
      <c r="AA6" t="str">
        <f>IF(OR(S6="",Y6="",Z6="",Settings!$B$2=""),"",Settings!$B$2*(S6+Y6+Z6))</f>
        <v/>
      </c>
      <c r="AB6" t="str">
        <f>IF(OR(P6&lt;&gt;"",S6="",Y6="",Z6="",AA6=""),"",D6-S6-Y6-Z6-AA6-I6-J6-N(L6)-N(M6))</f>
        <v/>
      </c>
      <c r="AC6" t="str">
        <f>IF(AB6="","",AB6/D6)</f>
        <v/>
      </c>
    </row>
    <row r="7">
      <c r="A7" t="str">
        <v>LW-SR-102</v>
      </c>
      <c r="B7" t="str">
        <v>Retinol Serum 1%</v>
      </c>
      <c r="C7" t="str">
        <v>30 ml (1.00 fl.oz)</v>
      </c>
      <c r="P7" t="str">
        <f>IF(D7="","السعر ","")&amp;IF(E7="","الوزن ","")&amp;IF(COUNT(F7:H7)&lt;3,"الأبعاد ","")&amp;IF(I7="","COGS ","")&amp;IF(J7="","شحن-مستودع ","")&amp;IF(K7="","أشهر-تخزين ","")&amp;IF(Settings!$B$2="","VAT ","")</f>
        <v/>
      </c>
      <c r="Q7" t="str">
        <f>IF(COUNT(F7:H7)=3,F7*G7*H7/Settings!$B$10,"")</f>
        <v/>
      </c>
      <c r="R7" t="str">
        <f>IF(D7="","",IF(D7&lt;=Settings!$B$5,Settings!$B$6,Settings!$B$7))</f>
        <v/>
      </c>
      <c r="S7" t="str">
        <f>IF(D7="","",MAX(Settings!$B$8,R7*D7))</f>
        <v/>
      </c>
      <c r="T7" t="str">
        <f>IF(N7&lt;&gt;"",N7,IF(OR(D7="",E7=""),"",IF(E7&gt;3,"",IF(D7&lt;=Settings!$B$9,INDEX(Fees!$B$3:$B$8,COUNTIF(Fees!$A$3:$A$8,"&lt;"&amp;E7)+1),INDEX(Fees!$C$3:$C$8,COUNTIF(Fees!$A$3:$A$8,"&lt;"&amp;E7)+1)))))</f>
        <v/>
      </c>
      <c r="U7" t="str">
        <f>IF(OR(Q7="",K7=""),"",Q7*Settings!$B$3*K7)</f>
        <v/>
      </c>
      <c r="V7" t="str">
        <f>IF(OR(S7="",T7="",U7="",Settings!$B$2=""),"",Settings!$B$2*(S7+T7+U7))</f>
        <v/>
      </c>
      <c r="W7" t="str">
        <f>IF(OR(P7&lt;&gt;"",S7="",T7="",U7="",V7=""),"",D7-S7-T7-U7-V7-I7-J7-N(L7)-N(M7))</f>
        <v/>
      </c>
      <c r="X7" t="str">
        <f>IF(W7="","",W7/D7)</f>
        <v/>
      </c>
      <c r="Y7" t="str">
        <f>IF(O7&lt;&gt;"",O7,IF(OR(D7="",E7=""),"",IF(E7&gt;3,"",IF(D7&lt;=Settings!$B$9,INDEX(Fees!$B$12:$B$17,COUNTIF(Fees!$A$12:$A$17,"&lt;"&amp;E7)+1),INDEX(Fees!$C$12:$C$17,COUNTIF(Fees!$A$12:$A$17,"&lt;"&amp;E7)+1)))))</f>
        <v/>
      </c>
      <c r="Z7" t="str">
        <f>IF(OR(Q7="",K7=""),"",Q7*Settings!$B$4*K7)</f>
        <v/>
      </c>
      <c r="AA7" t="str">
        <f>IF(OR(S7="",Y7="",Z7="",Settings!$B$2=""),"",Settings!$B$2*(S7+Y7+Z7))</f>
        <v/>
      </c>
      <c r="AB7" t="str">
        <f>IF(OR(P7&lt;&gt;"",S7="",Y7="",Z7="",AA7=""),"",D7-S7-Y7-Z7-AA7-I7-J7-N(L7)-N(M7))</f>
        <v/>
      </c>
      <c r="AC7" t="str">
        <f>IF(AB7="","",AB7/D7)</f>
        <v/>
      </c>
    </row>
    <row r="8">
      <c r="A8" t="str">
        <v>LW-SR-103</v>
      </c>
      <c r="B8" t="str">
        <v>Dark Spot Corrector Serum</v>
      </c>
      <c r="C8" t="str">
        <v>30 ml (1.00 fl.oz)</v>
      </c>
      <c r="P8" t="str">
        <f>IF(D8="","السعر ","")&amp;IF(E8="","الوزن ","")&amp;IF(COUNT(F8:H8)&lt;3,"الأبعاد ","")&amp;IF(I8="","COGS ","")&amp;IF(J8="","شحن-مستودع ","")&amp;IF(K8="","أشهر-تخزين ","")&amp;IF(Settings!$B$2="","VAT ","")</f>
        <v/>
      </c>
      <c r="Q8" t="str">
        <f>IF(COUNT(F8:H8)=3,F8*G8*H8/Settings!$B$10,"")</f>
        <v/>
      </c>
      <c r="R8" t="str">
        <f>IF(D8="","",IF(D8&lt;=Settings!$B$5,Settings!$B$6,Settings!$B$7))</f>
        <v/>
      </c>
      <c r="S8" t="str">
        <f>IF(D8="","",MAX(Settings!$B$8,R8*D8))</f>
        <v/>
      </c>
      <c r="T8" t="str">
        <f>IF(N8&lt;&gt;"",N8,IF(OR(D8="",E8=""),"",IF(E8&gt;3,"",IF(D8&lt;=Settings!$B$9,INDEX(Fees!$B$3:$B$8,COUNTIF(Fees!$A$3:$A$8,"&lt;"&amp;E8)+1),INDEX(Fees!$C$3:$C$8,COUNTIF(Fees!$A$3:$A$8,"&lt;"&amp;E8)+1)))))</f>
        <v/>
      </c>
      <c r="U8" t="str">
        <f>IF(OR(Q8="",K8=""),"",Q8*Settings!$B$3*K8)</f>
        <v/>
      </c>
      <c r="V8" t="str">
        <f>IF(OR(S8="",T8="",U8="",Settings!$B$2=""),"",Settings!$B$2*(S8+T8+U8))</f>
        <v/>
      </c>
      <c r="W8" t="str">
        <f>IF(OR(P8&lt;&gt;"",S8="",T8="",U8="",V8=""),"",D8-S8-T8-U8-V8-I8-J8-N(L8)-N(M8))</f>
        <v/>
      </c>
      <c r="X8" t="str">
        <f>IF(W8="","",W8/D8)</f>
        <v/>
      </c>
      <c r="Y8" t="str">
        <f>IF(O8&lt;&gt;"",O8,IF(OR(D8="",E8=""),"",IF(E8&gt;3,"",IF(D8&lt;=Settings!$B$9,INDEX(Fees!$B$12:$B$17,COUNTIF(Fees!$A$12:$A$17,"&lt;"&amp;E8)+1),INDEX(Fees!$C$12:$C$17,COUNTIF(Fees!$A$12:$A$17,"&lt;"&amp;E8)+1)))))</f>
        <v/>
      </c>
      <c r="Z8" t="str">
        <f>IF(OR(Q8="",K8=""),"",Q8*Settings!$B$4*K8)</f>
        <v/>
      </c>
      <c r="AA8" t="str">
        <f>IF(OR(S8="",Y8="",Z8="",Settings!$B$2=""),"",Settings!$B$2*(S8+Y8+Z8))</f>
        <v/>
      </c>
      <c r="AB8" t="str">
        <f>IF(OR(P8&lt;&gt;"",S8="",Y8="",Z8="",AA8=""),"",D8-S8-Y8-Z8-AA8-I8-J8-N(L8)-N(M8))</f>
        <v/>
      </c>
      <c r="AC8" t="str">
        <f>IF(AB8="","",AB8/D8)</f>
        <v/>
      </c>
    </row>
    <row r="9">
      <c r="A9" t="str">
        <v>LW-SR-104</v>
      </c>
      <c r="B9" t="str">
        <v>Intensive Hydration Serum</v>
      </c>
      <c r="C9" t="str">
        <v>30 ml (1.00 fl.oz)</v>
      </c>
      <c r="P9" t="str">
        <f>IF(D9="","السعر ","")&amp;IF(E9="","الوزن ","")&amp;IF(COUNT(F9:H9)&lt;3,"الأبعاد ","")&amp;IF(I9="","COGS ","")&amp;IF(J9="","شحن-مستودع ","")&amp;IF(K9="","أشهر-تخزين ","")&amp;IF(Settings!$B$2="","VAT ","")</f>
        <v/>
      </c>
      <c r="Q9" t="str">
        <f>IF(COUNT(F9:H9)=3,F9*G9*H9/Settings!$B$10,"")</f>
        <v/>
      </c>
      <c r="R9" t="str">
        <f>IF(D9="","",IF(D9&lt;=Settings!$B$5,Settings!$B$6,Settings!$B$7))</f>
        <v/>
      </c>
      <c r="S9" t="str">
        <f>IF(D9="","",MAX(Settings!$B$8,R9*D9))</f>
        <v/>
      </c>
      <c r="T9" t="str">
        <f>IF(N9&lt;&gt;"",N9,IF(OR(D9="",E9=""),"",IF(E9&gt;3,"",IF(D9&lt;=Settings!$B$9,INDEX(Fees!$B$3:$B$8,COUNTIF(Fees!$A$3:$A$8,"&lt;"&amp;E9)+1),INDEX(Fees!$C$3:$C$8,COUNTIF(Fees!$A$3:$A$8,"&lt;"&amp;E9)+1)))))</f>
        <v/>
      </c>
      <c r="U9" t="str">
        <f>IF(OR(Q9="",K9=""),"",Q9*Settings!$B$3*K9)</f>
        <v/>
      </c>
      <c r="V9" t="str">
        <f>IF(OR(S9="",T9="",U9="",Settings!$B$2=""),"",Settings!$B$2*(S9+T9+U9))</f>
        <v/>
      </c>
      <c r="W9" t="str">
        <f>IF(OR(P9&lt;&gt;"",S9="",T9="",U9="",V9=""),"",D9-S9-T9-U9-V9-I9-J9-N(L9)-N(M9))</f>
        <v/>
      </c>
      <c r="X9" t="str">
        <f>IF(W9="","",W9/D9)</f>
        <v/>
      </c>
      <c r="Y9" t="str">
        <f>IF(O9&lt;&gt;"",O9,IF(OR(D9="",E9=""),"",IF(E9&gt;3,"",IF(D9&lt;=Settings!$B$9,INDEX(Fees!$B$12:$B$17,COUNTIF(Fees!$A$12:$A$17,"&lt;"&amp;E9)+1),INDEX(Fees!$C$12:$C$17,COUNTIF(Fees!$A$12:$A$17,"&lt;"&amp;E9)+1)))))</f>
        <v/>
      </c>
      <c r="Z9" t="str">
        <f>IF(OR(Q9="",K9=""),"",Q9*Settings!$B$4*K9)</f>
        <v/>
      </c>
      <c r="AA9" t="str">
        <f>IF(OR(S9="",Y9="",Z9="",Settings!$B$2=""),"",Settings!$B$2*(S9+Y9+Z9))</f>
        <v/>
      </c>
      <c r="AB9" t="str">
        <f>IF(OR(P9&lt;&gt;"",S9="",Y9="",Z9="",AA9=""),"",D9-S9-Y9-Z9-AA9-I9-J9-N(L9)-N(M9))</f>
        <v/>
      </c>
      <c r="AC9" t="str">
        <f>IF(AB9="","",AB9/D9)</f>
        <v/>
      </c>
    </row>
    <row r="10">
      <c r="A10" t="str">
        <v>LW-SR-105</v>
      </c>
      <c r="B10" t="str">
        <v>Collagen Serum</v>
      </c>
      <c r="C10" t="str">
        <v>30 ml (1.00 fl.oz)</v>
      </c>
      <c r="P10" t="str">
        <f>IF(D10="","السعر ","")&amp;IF(E10="","الوزن ","")&amp;IF(COUNT(F10:H10)&lt;3,"الأبعاد ","")&amp;IF(I10="","COGS ","")&amp;IF(J10="","شحن-مستودع ","")&amp;IF(K10="","أشهر-تخزين ","")&amp;IF(Settings!$B$2="","VAT ","")</f>
        <v/>
      </c>
      <c r="Q10" t="str">
        <f>IF(COUNT(F10:H10)=3,F10*G10*H10/Settings!$B$10,"")</f>
        <v/>
      </c>
      <c r="R10" t="str">
        <f>IF(D10="","",IF(D10&lt;=Settings!$B$5,Settings!$B$6,Settings!$B$7))</f>
        <v/>
      </c>
      <c r="S10" t="str">
        <f>IF(D10="","",MAX(Settings!$B$8,R10*D10))</f>
        <v/>
      </c>
      <c r="T10" t="str">
        <f>IF(N10&lt;&gt;"",N10,IF(OR(D10="",E10=""),"",IF(E10&gt;3,"",IF(D10&lt;=Settings!$B$9,INDEX(Fees!$B$3:$B$8,COUNTIF(Fees!$A$3:$A$8,"&lt;"&amp;E10)+1),INDEX(Fees!$C$3:$C$8,COUNTIF(Fees!$A$3:$A$8,"&lt;"&amp;E10)+1)))))</f>
        <v/>
      </c>
      <c r="U10" t="str">
        <f>IF(OR(Q10="",K10=""),"",Q10*Settings!$B$3*K10)</f>
        <v/>
      </c>
      <c r="V10" t="str">
        <f>IF(OR(S10="",T10="",U10="",Settings!$B$2=""),"",Settings!$B$2*(S10+T10+U10))</f>
        <v/>
      </c>
      <c r="W10" t="str">
        <f>IF(OR(P10&lt;&gt;"",S10="",T10="",U10="",V10=""),"",D10-S10-T10-U10-V10-I10-J10-N(L10)-N(M10))</f>
        <v/>
      </c>
      <c r="X10" t="str">
        <f>IF(W10="","",W10/D10)</f>
        <v/>
      </c>
      <c r="Y10" t="str">
        <f>IF(O10&lt;&gt;"",O10,IF(OR(D10="",E10=""),"",IF(E10&gt;3,"",IF(D10&lt;=Settings!$B$9,INDEX(Fees!$B$12:$B$17,COUNTIF(Fees!$A$12:$A$17,"&lt;"&amp;E10)+1),INDEX(Fees!$C$12:$C$17,COUNTIF(Fees!$A$12:$A$17,"&lt;"&amp;E10)+1)))))</f>
        <v/>
      </c>
      <c r="Z10" t="str">
        <f>IF(OR(Q10="",K10=""),"",Q10*Settings!$B$4*K10)</f>
        <v/>
      </c>
      <c r="AA10" t="str">
        <f>IF(OR(S10="",Y10="",Z10="",Settings!$B$2=""),"",Settings!$B$2*(S10+Y10+Z10))</f>
        <v/>
      </c>
      <c r="AB10" t="str">
        <f>IF(OR(P10&lt;&gt;"",S10="",Y10="",Z10="",AA10=""),"",D10-S10-Y10-Z10-AA10-I10-J10-N(L10)-N(M10))</f>
        <v/>
      </c>
      <c r="AC10" t="str">
        <f>IF(AB10="","",AB10/D10)</f>
        <v/>
      </c>
    </row>
    <row r="11">
      <c r="A11" t="str">
        <v>LW-SR-106</v>
      </c>
      <c r="B11" t="str">
        <v>Under Eye Serum</v>
      </c>
      <c r="C11" t="str">
        <v>30 ml (1.00 fl.oz)</v>
      </c>
      <c r="P11" t="str">
        <f>IF(D11="","السعر ","")&amp;IF(E11="","الوزن ","")&amp;IF(COUNT(F11:H11)&lt;3,"الأبعاد ","")&amp;IF(I11="","COGS ","")&amp;IF(J11="","شحن-مستودع ","")&amp;IF(K11="","أشهر-تخزين ","")&amp;IF(Settings!$B$2="","VAT ","")</f>
        <v/>
      </c>
      <c r="Q11" t="str">
        <f>IF(COUNT(F11:H11)=3,F11*G11*H11/Settings!$B$10,"")</f>
        <v/>
      </c>
      <c r="R11" t="str">
        <f>IF(D11="","",IF(D11&lt;=Settings!$B$5,Settings!$B$6,Settings!$B$7))</f>
        <v/>
      </c>
      <c r="S11" t="str">
        <f>IF(D11="","",MAX(Settings!$B$8,R11*D11))</f>
        <v/>
      </c>
      <c r="T11" t="str">
        <f>IF(N11&lt;&gt;"",N11,IF(OR(D11="",E11=""),"",IF(E11&gt;3,"",IF(D11&lt;=Settings!$B$9,INDEX(Fees!$B$3:$B$8,COUNTIF(Fees!$A$3:$A$8,"&lt;"&amp;E11)+1),INDEX(Fees!$C$3:$C$8,COUNTIF(Fees!$A$3:$A$8,"&lt;"&amp;E11)+1)))))</f>
        <v/>
      </c>
      <c r="U11" t="str">
        <f>IF(OR(Q11="",K11=""),"",Q11*Settings!$B$3*K11)</f>
        <v/>
      </c>
      <c r="V11" t="str">
        <f>IF(OR(S11="",T11="",U11="",Settings!$B$2=""),"",Settings!$B$2*(S11+T11+U11))</f>
        <v/>
      </c>
      <c r="W11" t="str">
        <f>IF(OR(P11&lt;&gt;"",S11="",T11="",U11="",V11=""),"",D11-S11-T11-U11-V11-I11-J11-N(L11)-N(M11))</f>
        <v/>
      </c>
      <c r="X11" t="str">
        <f>IF(W11="","",W11/D11)</f>
        <v/>
      </c>
      <c r="Y11" t="str">
        <f>IF(O11&lt;&gt;"",O11,IF(OR(D11="",E11=""),"",IF(E11&gt;3,"",IF(D11&lt;=Settings!$B$9,INDEX(Fees!$B$12:$B$17,COUNTIF(Fees!$A$12:$A$17,"&lt;"&amp;E11)+1),INDEX(Fees!$C$12:$C$17,COUNTIF(Fees!$A$12:$A$17,"&lt;"&amp;E11)+1)))))</f>
        <v/>
      </c>
      <c r="Z11" t="str">
        <f>IF(OR(Q11="",K11=""),"",Q11*Settings!$B$4*K11)</f>
        <v/>
      </c>
      <c r="AA11" t="str">
        <f>IF(OR(S11="",Y11="",Z11="",Settings!$B$2=""),"",Settings!$B$2*(S11+Y11+Z11))</f>
        <v/>
      </c>
      <c r="AB11" t="str">
        <f>IF(OR(P11&lt;&gt;"",S11="",Y11="",Z11="",AA11=""),"",D11-S11-Y11-Z11-AA11-I11-J11-N(L11)-N(M11))</f>
        <v/>
      </c>
      <c r="AC11" t="str">
        <f>IF(AB11="","",AB11/D11)</f>
        <v/>
      </c>
    </row>
    <row r="12">
      <c r="A12" t="str">
        <v>LW-SR-107</v>
      </c>
      <c r="B12" t="str">
        <v>Anti-Acne Serum</v>
      </c>
      <c r="C12" t="str">
        <v>30 ml (1.00 fl.oz)</v>
      </c>
      <c r="P12" t="str">
        <f>IF(D12="","السعر ","")&amp;IF(E12="","الوزن ","")&amp;IF(COUNT(F12:H12)&lt;3,"الأبعاد ","")&amp;IF(I12="","COGS ","")&amp;IF(J12="","شحن-مستودع ","")&amp;IF(K12="","أشهر-تخزين ","")&amp;IF(Settings!$B$2="","VAT ","")</f>
        <v/>
      </c>
      <c r="Q12" t="str">
        <f>IF(COUNT(F12:H12)=3,F12*G12*H12/Settings!$B$10,"")</f>
        <v/>
      </c>
      <c r="R12" t="str">
        <f>IF(D12="","",IF(D12&lt;=Settings!$B$5,Settings!$B$6,Settings!$B$7))</f>
        <v/>
      </c>
      <c r="S12" t="str">
        <f>IF(D12="","",MAX(Settings!$B$8,R12*D12))</f>
        <v/>
      </c>
      <c r="T12" t="str">
        <f>IF(N12&lt;&gt;"",N12,IF(OR(D12="",E12=""),"",IF(E12&gt;3,"",IF(D12&lt;=Settings!$B$9,INDEX(Fees!$B$3:$B$8,COUNTIF(Fees!$A$3:$A$8,"&lt;"&amp;E12)+1),INDEX(Fees!$C$3:$C$8,COUNTIF(Fees!$A$3:$A$8,"&lt;"&amp;E12)+1)))))</f>
        <v/>
      </c>
      <c r="U12" t="str">
        <f>IF(OR(Q12="",K12=""),"",Q12*Settings!$B$3*K12)</f>
        <v/>
      </c>
      <c r="V12" t="str">
        <f>IF(OR(S12="",T12="",U12="",Settings!$B$2=""),"",Settings!$B$2*(S12+T12+U12))</f>
        <v/>
      </c>
      <c r="W12" t="str">
        <f>IF(OR(P12&lt;&gt;"",S12="",T12="",U12="",V12=""),"",D12-S12-T12-U12-V12-I12-J12-N(L12)-N(M12))</f>
        <v/>
      </c>
      <c r="X12" t="str">
        <f>IF(W12="","",W12/D12)</f>
        <v/>
      </c>
      <c r="Y12" t="str">
        <f>IF(O12&lt;&gt;"",O12,IF(OR(D12="",E12=""),"",IF(E12&gt;3,"",IF(D12&lt;=Settings!$B$9,INDEX(Fees!$B$12:$B$17,COUNTIF(Fees!$A$12:$A$17,"&lt;"&amp;E12)+1),INDEX(Fees!$C$12:$C$17,COUNTIF(Fees!$A$12:$A$17,"&lt;"&amp;E12)+1)))))</f>
        <v/>
      </c>
      <c r="Z12" t="str">
        <f>IF(OR(Q12="",K12=""),"",Q12*Settings!$B$4*K12)</f>
        <v/>
      </c>
      <c r="AA12" t="str">
        <f>IF(OR(S12="",Y12="",Z12="",Settings!$B$2=""),"",Settings!$B$2*(S12+Y12+Z12))</f>
        <v/>
      </c>
      <c r="AB12" t="str">
        <f>IF(OR(P12&lt;&gt;"",S12="",Y12="",Z12="",AA12=""),"",D12-S12-Y12-Z12-AA12-I12-J12-N(L12)-N(M12))</f>
        <v/>
      </c>
      <c r="AC12" t="str">
        <f>IF(AB12="","",AB12/D12)</f>
        <v/>
      </c>
    </row>
    <row r="13">
      <c r="A13" t="str">
        <v>LW-CR-301</v>
      </c>
      <c r="B13" t="str">
        <v>Intense Repair Moisturizer Cream</v>
      </c>
      <c r="C13" t="str">
        <v>50 ml (1.7 fl.oz)</v>
      </c>
      <c r="P13" t="str">
        <f>IF(D13="","السعر ","")&amp;IF(E13="","الوزن ","")&amp;IF(COUNT(F13:H13)&lt;3,"الأبعاد ","")&amp;IF(I13="","COGS ","")&amp;IF(J13="","شحن-مستودع ","")&amp;IF(K13="","أشهر-تخزين ","")&amp;IF(Settings!$B$2="","VAT ","")</f>
        <v/>
      </c>
      <c r="Q13" t="str">
        <f>IF(COUNT(F13:H13)=3,F13*G13*H13/Settings!$B$10,"")</f>
        <v/>
      </c>
      <c r="R13" t="str">
        <f>IF(D13="","",IF(D13&lt;=Settings!$B$5,Settings!$B$6,Settings!$B$7))</f>
        <v/>
      </c>
      <c r="S13" t="str">
        <f>IF(D13="","",MAX(Settings!$B$8,R13*D13))</f>
        <v/>
      </c>
      <c r="T13" t="str">
        <f>IF(N13&lt;&gt;"",N13,IF(OR(D13="",E13=""),"",IF(E13&gt;3,"",IF(D13&lt;=Settings!$B$9,INDEX(Fees!$B$3:$B$8,COUNTIF(Fees!$A$3:$A$8,"&lt;"&amp;E13)+1),INDEX(Fees!$C$3:$C$8,COUNTIF(Fees!$A$3:$A$8,"&lt;"&amp;E13)+1)))))</f>
        <v/>
      </c>
      <c r="U13" t="str">
        <f>IF(OR(Q13="",K13=""),"",Q13*Settings!$B$3*K13)</f>
        <v/>
      </c>
      <c r="V13" t="str">
        <f>IF(OR(S13="",T13="",U13="",Settings!$B$2=""),"",Settings!$B$2*(S13+T13+U13))</f>
        <v/>
      </c>
      <c r="W13" t="str">
        <f>IF(OR(P13&lt;&gt;"",S13="",T13="",U13="",V13=""),"",D13-S13-T13-U13-V13-I13-J13-N(L13)-N(M13))</f>
        <v/>
      </c>
      <c r="X13" t="str">
        <f>IF(W13="","",W13/D13)</f>
        <v/>
      </c>
      <c r="Y13" t="str">
        <f>IF(O13&lt;&gt;"",O13,IF(OR(D13="",E13=""),"",IF(E13&gt;3,"",IF(D13&lt;=Settings!$B$9,INDEX(Fees!$B$12:$B$17,COUNTIF(Fees!$A$12:$A$17,"&lt;"&amp;E13)+1),INDEX(Fees!$C$12:$C$17,COUNTIF(Fees!$A$12:$A$17,"&lt;"&amp;E13)+1)))))</f>
        <v/>
      </c>
      <c r="Z13" t="str">
        <f>IF(OR(Q13="",K13=""),"",Q13*Settings!$B$4*K13)</f>
        <v/>
      </c>
      <c r="AA13" t="str">
        <f>IF(OR(S13="",Y13="",Z13="",Settings!$B$2=""),"",Settings!$B$2*(S13+Y13+Z13))</f>
        <v/>
      </c>
      <c r="AB13" t="str">
        <f>IF(OR(P13&lt;&gt;"",S13="",Y13="",Z13="",AA13=""),"",D13-S13-Y13-Z13-AA13-I13-J13-N(L13)-N(M13))</f>
        <v/>
      </c>
      <c r="AC13" t="str">
        <f>IF(AB13="","",AB13/D13)</f>
        <v/>
      </c>
    </row>
    <row r="14">
      <c r="A14" t="str">
        <v>LW-CR-304</v>
      </c>
      <c r="B14" t="str">
        <v>Retinal Shot Cream</v>
      </c>
      <c r="C14" t="str">
        <v>15 ml (0.5 fl.oz) · 25,000 IU</v>
      </c>
      <c r="P14" t="str">
        <f>IF(D14="","السعر ","")&amp;IF(E14="","الوزن ","")&amp;IF(COUNT(F14:H14)&lt;3,"الأبعاد ","")&amp;IF(I14="","COGS ","")&amp;IF(J14="","شحن-مستودع ","")&amp;IF(K14="","أشهر-تخزين ","")&amp;IF(Settings!$B$2="","VAT ","")</f>
        <v/>
      </c>
      <c r="Q14" t="str">
        <f>IF(COUNT(F14:H14)=3,F14*G14*H14/Settings!$B$10,"")</f>
        <v/>
      </c>
      <c r="R14" t="str">
        <f>IF(D14="","",IF(D14&lt;=Settings!$B$5,Settings!$B$6,Settings!$B$7))</f>
        <v/>
      </c>
      <c r="S14" t="str">
        <f>IF(D14="","",MAX(Settings!$B$8,R14*D14))</f>
        <v/>
      </c>
      <c r="T14" t="str">
        <f>IF(N14&lt;&gt;"",N14,IF(OR(D14="",E14=""),"",IF(E14&gt;3,"",IF(D14&lt;=Settings!$B$9,INDEX(Fees!$B$3:$B$8,COUNTIF(Fees!$A$3:$A$8,"&lt;"&amp;E14)+1),INDEX(Fees!$C$3:$C$8,COUNTIF(Fees!$A$3:$A$8,"&lt;"&amp;E14)+1)))))</f>
        <v/>
      </c>
      <c r="U14" t="str">
        <f>IF(OR(Q14="",K14=""),"",Q14*Settings!$B$3*K14)</f>
        <v/>
      </c>
      <c r="V14" t="str">
        <f>IF(OR(S14="",T14="",U14="",Settings!$B$2=""),"",Settings!$B$2*(S14+T14+U14))</f>
        <v/>
      </c>
      <c r="W14" t="str">
        <f>IF(OR(P14&lt;&gt;"",S14="",T14="",U14="",V14=""),"",D14-S14-T14-U14-V14-I14-J14-N(L14)-N(M14))</f>
        <v/>
      </c>
      <c r="X14" t="str">
        <f>IF(W14="","",W14/D14)</f>
        <v/>
      </c>
      <c r="Y14" t="str">
        <f>IF(O14&lt;&gt;"",O14,IF(OR(D14="",E14=""),"",IF(E14&gt;3,"",IF(D14&lt;=Settings!$B$9,INDEX(Fees!$B$12:$B$17,COUNTIF(Fees!$A$12:$A$17,"&lt;"&amp;E14)+1),INDEX(Fees!$C$12:$C$17,COUNTIF(Fees!$A$12:$A$17,"&lt;"&amp;E14)+1)))))</f>
        <v/>
      </c>
      <c r="Z14" t="str">
        <f>IF(OR(Q14="",K14=""),"",Q14*Settings!$B$4*K14)</f>
        <v/>
      </c>
      <c r="AA14" t="str">
        <f>IF(OR(S14="",Y14="",Z14="",Settings!$B$2=""),"",Settings!$B$2*(S14+Y14+Z14))</f>
        <v/>
      </c>
      <c r="AB14" t="str">
        <f>IF(OR(P14&lt;&gt;"",S14="",Y14="",Z14="",AA14=""),"",D14-S14-Y14-Z14-AA14-I14-J14-N(L14)-N(M14))</f>
        <v/>
      </c>
      <c r="AC14" t="str">
        <f>IF(AB14="","",AB14/D14)</f>
        <v/>
      </c>
    </row>
    <row r="15">
      <c r="A15" t="str">
        <v>LW-CR-302</v>
      </c>
      <c r="B15" t="str">
        <v>Skin Brightening Cream</v>
      </c>
      <c r="C15" t="str">
        <v>50 ml (1.7 fl.oz)</v>
      </c>
      <c r="P15" t="str">
        <f>IF(D15="","السعر ","")&amp;IF(E15="","الوزن ","")&amp;IF(COUNT(F15:H15)&lt;3,"الأبعاد ","")&amp;IF(I15="","COGS ","")&amp;IF(J15="","شحن-مستودع ","")&amp;IF(K15="","أشهر-تخزين ","")&amp;IF(Settings!$B$2="","VAT ","")</f>
        <v/>
      </c>
      <c r="Q15" t="str">
        <f>IF(COUNT(F15:H15)=3,F15*G15*H15/Settings!$B$10,"")</f>
        <v/>
      </c>
      <c r="R15" t="str">
        <f>IF(D15="","",IF(D15&lt;=Settings!$B$5,Settings!$B$6,Settings!$B$7))</f>
        <v/>
      </c>
      <c r="S15" t="str">
        <f>IF(D15="","",MAX(Settings!$B$8,R15*D15))</f>
        <v/>
      </c>
      <c r="T15" t="str">
        <f>IF(N15&lt;&gt;"",N15,IF(OR(D15="",E15=""),"",IF(E15&gt;3,"",IF(D15&lt;=Settings!$B$9,INDEX(Fees!$B$3:$B$8,COUNTIF(Fees!$A$3:$A$8,"&lt;"&amp;E15)+1),INDEX(Fees!$C$3:$C$8,COUNTIF(Fees!$A$3:$A$8,"&lt;"&amp;E15)+1)))))</f>
        <v/>
      </c>
      <c r="U15" t="str">
        <f>IF(OR(Q15="",K15=""),"",Q15*Settings!$B$3*K15)</f>
        <v/>
      </c>
      <c r="V15" t="str">
        <f>IF(OR(S15="",T15="",U15="",Settings!$B$2=""),"",Settings!$B$2*(S15+T15+U15))</f>
        <v/>
      </c>
      <c r="W15" t="str">
        <f>IF(OR(P15&lt;&gt;"",S15="",T15="",U15="",V15=""),"",D15-S15-T15-U15-V15-I15-J15-N(L15)-N(M15))</f>
        <v/>
      </c>
      <c r="X15" t="str">
        <f>IF(W15="","",W15/D15)</f>
        <v/>
      </c>
      <c r="Y15" t="str">
        <f>IF(O15&lt;&gt;"",O15,IF(OR(D15="",E15=""),"",IF(E15&gt;3,"",IF(D15&lt;=Settings!$B$9,INDEX(Fees!$B$12:$B$17,COUNTIF(Fees!$A$12:$A$17,"&lt;"&amp;E15)+1),INDEX(Fees!$C$12:$C$17,COUNTIF(Fees!$A$12:$A$17,"&lt;"&amp;E15)+1)))))</f>
        <v/>
      </c>
      <c r="Z15" t="str">
        <f>IF(OR(Q15="",K15=""),"",Q15*Settings!$B$4*K15)</f>
        <v/>
      </c>
      <c r="AA15" t="str">
        <f>IF(OR(S15="",Y15="",Z15="",Settings!$B$2=""),"",Settings!$B$2*(S15+Y15+Z15))</f>
        <v/>
      </c>
      <c r="AB15" t="str">
        <f>IF(OR(P15&lt;&gt;"",S15="",Y15="",Z15="",AA15=""),"",D15-S15-Y15-Z15-AA15-I15-J15-N(L15)-N(M15))</f>
        <v/>
      </c>
      <c r="AC15" t="str">
        <f>IF(AB15="","",AB15/D15)</f>
        <v/>
      </c>
    </row>
    <row r="16">
      <c r="A16" t="str">
        <v>LW-SP-401</v>
      </c>
      <c r="B16" t="str">
        <v>Tone Up Pink Sunscreen SPF50+</v>
      </c>
      <c r="C16" t="str">
        <v>75 ml (2.53 fl.oz)</v>
      </c>
      <c r="P16" t="str">
        <f>IF(D16="","السعر ","")&amp;IF(E16="","الوزن ","")&amp;IF(COUNT(F16:H16)&lt;3,"الأبعاد ","")&amp;IF(I16="","COGS ","")&amp;IF(J16="","شحن-مستودع ","")&amp;IF(K16="","أشهر-تخزين ","")&amp;IF(Settings!$B$2="","VAT ","")</f>
        <v/>
      </c>
      <c r="Q16" t="str">
        <f>IF(COUNT(F16:H16)=3,F16*G16*H16/Settings!$B$10,"")</f>
        <v/>
      </c>
      <c r="R16" t="str">
        <f>IF(D16="","",IF(D16&lt;=Settings!$B$5,Settings!$B$6,Settings!$B$7))</f>
        <v/>
      </c>
      <c r="S16" t="str">
        <f>IF(D16="","",MAX(Settings!$B$8,R16*D16))</f>
        <v/>
      </c>
      <c r="T16" t="str">
        <f>IF(N16&lt;&gt;"",N16,IF(OR(D16="",E16=""),"",IF(E16&gt;3,"",IF(D16&lt;=Settings!$B$9,INDEX(Fees!$B$3:$B$8,COUNTIF(Fees!$A$3:$A$8,"&lt;"&amp;E16)+1),INDEX(Fees!$C$3:$C$8,COUNTIF(Fees!$A$3:$A$8,"&lt;"&amp;E16)+1)))))</f>
        <v/>
      </c>
      <c r="U16" t="str">
        <f>IF(OR(Q16="",K16=""),"",Q16*Settings!$B$3*K16)</f>
        <v/>
      </c>
      <c r="V16" t="str">
        <f>IF(OR(S16="",T16="",U16="",Settings!$B$2=""),"",Settings!$B$2*(S16+T16+U16))</f>
        <v/>
      </c>
      <c r="W16" t="str">
        <f>IF(OR(P16&lt;&gt;"",S16="",T16="",U16="",V16=""),"",D16-S16-T16-U16-V16-I16-J16-N(L16)-N(M16))</f>
        <v/>
      </c>
      <c r="X16" t="str">
        <f>IF(W16="","",W16/D16)</f>
        <v/>
      </c>
      <c r="Y16" t="str">
        <f>IF(O16&lt;&gt;"",O16,IF(OR(D16="",E16=""),"",IF(E16&gt;3,"",IF(D16&lt;=Settings!$B$9,INDEX(Fees!$B$12:$B$17,COUNTIF(Fees!$A$12:$A$17,"&lt;"&amp;E16)+1),INDEX(Fees!$C$12:$C$17,COUNTIF(Fees!$A$12:$A$17,"&lt;"&amp;E16)+1)))))</f>
        <v/>
      </c>
      <c r="Z16" t="str">
        <f>IF(OR(Q16="",K16=""),"",Q16*Settings!$B$4*K16)</f>
        <v/>
      </c>
      <c r="AA16" t="str">
        <f>IF(OR(S16="",Y16="",Z16="",Settings!$B$2=""),"",Settings!$B$2*(S16+Y16+Z16))</f>
        <v/>
      </c>
      <c r="AB16" t="str">
        <f>IF(OR(P16&lt;&gt;"",S16="",Y16="",Z16="",AA16=""),"",D16-S16-Y16-Z16-AA16-I16-J16-N(L16)-N(M16))</f>
        <v/>
      </c>
      <c r="AC16" t="str">
        <f>IF(AB16="","",AB16/D16)</f>
        <v/>
      </c>
    </row>
    <row r="17">
      <c r="A17" t="str">
        <v>LW-SP-402</v>
      </c>
      <c r="B17" t="str">
        <v>Anti-Blemish Sunscreen SPF50+</v>
      </c>
      <c r="C17" t="str">
        <v>50 ml (1.7 fl.oz)</v>
      </c>
      <c r="P17" t="str">
        <f>IF(D17="","السعر ","")&amp;IF(E17="","الوزن ","")&amp;IF(COUNT(F17:H17)&lt;3,"الأبعاد ","")&amp;IF(I17="","COGS ","")&amp;IF(J17="","شحن-مستودع ","")&amp;IF(K17="","أشهر-تخزين ","")&amp;IF(Settings!$B$2="","VAT ","")</f>
        <v/>
      </c>
      <c r="Q17" t="str">
        <f>IF(COUNT(F17:H17)=3,F17*G17*H17/Settings!$B$10,"")</f>
        <v/>
      </c>
      <c r="R17" t="str">
        <f>IF(D17="","",IF(D17&lt;=Settings!$B$5,Settings!$B$6,Settings!$B$7))</f>
        <v/>
      </c>
      <c r="S17" t="str">
        <f>IF(D17="","",MAX(Settings!$B$8,R17*D17))</f>
        <v/>
      </c>
      <c r="T17" t="str">
        <f>IF(N17&lt;&gt;"",N17,IF(OR(D17="",E17=""),"",IF(E17&gt;3,"",IF(D17&lt;=Settings!$B$9,INDEX(Fees!$B$3:$B$8,COUNTIF(Fees!$A$3:$A$8,"&lt;"&amp;E17)+1),INDEX(Fees!$C$3:$C$8,COUNTIF(Fees!$A$3:$A$8,"&lt;"&amp;E17)+1)))))</f>
        <v/>
      </c>
      <c r="U17" t="str">
        <f>IF(OR(Q17="",K17=""),"",Q17*Settings!$B$3*K17)</f>
        <v/>
      </c>
      <c r="V17" t="str">
        <f>IF(OR(S17="",T17="",U17="",Settings!$B$2=""),"",Settings!$B$2*(S17+T17+U17))</f>
        <v/>
      </c>
      <c r="W17" t="str">
        <f>IF(OR(P17&lt;&gt;"",S17="",T17="",U17="",V17=""),"",D17-S17-T17-U17-V17-I17-J17-N(L17)-N(M17))</f>
        <v/>
      </c>
      <c r="X17" t="str">
        <f>IF(W17="","",W17/D17)</f>
        <v/>
      </c>
      <c r="Y17" t="str">
        <f>IF(O17&lt;&gt;"",O17,IF(OR(D17="",E17=""),"",IF(E17&gt;3,"",IF(D17&lt;=Settings!$B$9,INDEX(Fees!$B$12:$B$17,COUNTIF(Fees!$A$12:$A$17,"&lt;"&amp;E17)+1),INDEX(Fees!$C$12:$C$17,COUNTIF(Fees!$A$12:$A$17,"&lt;"&amp;E17)+1)))))</f>
        <v/>
      </c>
      <c r="Z17" t="str">
        <f>IF(OR(Q17="",K17=""),"",Q17*Settings!$B$4*K17)</f>
        <v/>
      </c>
      <c r="AA17" t="str">
        <f>IF(OR(S17="",Y17="",Z17="",Settings!$B$2=""),"",Settings!$B$2*(S17+Y17+Z17))</f>
        <v/>
      </c>
      <c r="AB17" t="str">
        <f>IF(OR(P17&lt;&gt;"",S17="",Y17="",Z17="",AA17=""),"",D17-S17-Y17-Z17-AA17-I17-J17-N(L17)-N(M17))</f>
        <v/>
      </c>
      <c r="AC17" t="str">
        <f>IF(AB17="","",AB17/D17)</f>
        <v/>
      </c>
    </row>
    <row r="18">
      <c r="A18" t="str">
        <v>LW-MK-501</v>
      </c>
      <c r="B18" t="str">
        <v>Collagen Hydro Bomb Mask</v>
      </c>
      <c r="C18" t="str">
        <v>50 ml (1.7 fl.oz)</v>
      </c>
      <c r="P18" t="str">
        <f>IF(D18="","السعر ","")&amp;IF(E18="","الوزن ","")&amp;IF(COUNT(F18:H18)&lt;3,"الأبعاد ","")&amp;IF(I18="","COGS ","")&amp;IF(J18="","شحن-مستودع ","")&amp;IF(K18="","أشهر-تخزين ","")&amp;IF(Settings!$B$2="","VAT ","")</f>
        <v/>
      </c>
      <c r="Q18" t="str">
        <f>IF(COUNT(F18:H18)=3,F18*G18*H18/Settings!$B$10,"")</f>
        <v/>
      </c>
      <c r="R18" t="str">
        <f>IF(D18="","",IF(D18&lt;=Settings!$B$5,Settings!$B$6,Settings!$B$7))</f>
        <v/>
      </c>
      <c r="S18" t="str">
        <f>IF(D18="","",MAX(Settings!$B$8,R18*D18))</f>
        <v/>
      </c>
      <c r="T18" t="str">
        <f>IF(N18&lt;&gt;"",N18,IF(OR(D18="",E18=""),"",IF(E18&gt;3,"",IF(D18&lt;=Settings!$B$9,INDEX(Fees!$B$3:$B$8,COUNTIF(Fees!$A$3:$A$8,"&lt;"&amp;E18)+1),INDEX(Fees!$C$3:$C$8,COUNTIF(Fees!$A$3:$A$8,"&lt;"&amp;E18)+1)))))</f>
        <v/>
      </c>
      <c r="U18" t="str">
        <f>IF(OR(Q18="",K18=""),"",Q18*Settings!$B$3*K18)</f>
        <v/>
      </c>
      <c r="V18" t="str">
        <f>IF(OR(S18="",T18="",U18="",Settings!$B$2=""),"",Settings!$B$2*(S18+T18+U18))</f>
        <v/>
      </c>
      <c r="W18" t="str">
        <f>IF(OR(P18&lt;&gt;"",S18="",T18="",U18="",V18=""),"",D18-S18-T18-U18-V18-I18-J18-N(L18)-N(M18))</f>
        <v/>
      </c>
      <c r="X18" t="str">
        <f>IF(W18="","",W18/D18)</f>
        <v/>
      </c>
      <c r="Y18" t="str">
        <f>IF(O18&lt;&gt;"",O18,IF(OR(D18="",E18=""),"",IF(E18&gt;3,"",IF(D18&lt;=Settings!$B$9,INDEX(Fees!$B$12:$B$17,COUNTIF(Fees!$A$12:$A$17,"&lt;"&amp;E18)+1),INDEX(Fees!$C$12:$C$17,COUNTIF(Fees!$A$12:$A$17,"&lt;"&amp;E18)+1)))))</f>
        <v/>
      </c>
      <c r="Z18" t="str">
        <f>IF(OR(Q18="",K18=""),"",Q18*Settings!$B$4*K18)</f>
        <v/>
      </c>
      <c r="AA18" t="str">
        <f>IF(OR(S18="",Y18="",Z18="",Settings!$B$2=""),"",Settings!$B$2*(S18+Y18+Z18))</f>
        <v/>
      </c>
      <c r="AB18" t="str">
        <f>IF(OR(P18&lt;&gt;"",S18="",Y18="",Z18="",AA18=""),"",D18-S18-Y18-Z18-AA18-I18-J18-N(L18)-N(M18))</f>
        <v/>
      </c>
      <c r="AC18" t="str">
        <f>IF(AB18="","",AB18/D18)</f>
        <v/>
      </c>
    </row>
    <row r="19">
      <c r="A19" t="str">
        <v>LW-TN-601</v>
      </c>
      <c r="B19" t="str">
        <v>Rice Milk Toner</v>
      </c>
      <c r="C19" t="str">
        <v>200 ml (6.76 fl.oz)</v>
      </c>
      <c r="P19" t="str">
        <f>IF(D19="","السعر ","")&amp;IF(E19="","الوزن ","")&amp;IF(COUNT(F19:H19)&lt;3,"الأبعاد ","")&amp;IF(I19="","COGS ","")&amp;IF(J19="","شحن-مستودع ","")&amp;IF(K19="","أشهر-تخزين ","")&amp;IF(Settings!$B$2="","VAT ","")</f>
        <v/>
      </c>
      <c r="Q19" t="str">
        <f>IF(COUNT(F19:H19)=3,F19*G19*H19/Settings!$B$10,"")</f>
        <v/>
      </c>
      <c r="R19" t="str">
        <f>IF(D19="","",IF(D19&lt;=Settings!$B$5,Settings!$B$6,Settings!$B$7))</f>
        <v/>
      </c>
      <c r="S19" t="str">
        <f>IF(D19="","",MAX(Settings!$B$8,R19*D19))</f>
        <v/>
      </c>
      <c r="T19" t="str">
        <f>IF(N19&lt;&gt;"",N19,IF(OR(D19="",E19=""),"",IF(E19&gt;3,"",IF(D19&lt;=Settings!$B$9,INDEX(Fees!$B$3:$B$8,COUNTIF(Fees!$A$3:$A$8,"&lt;"&amp;E19)+1),INDEX(Fees!$C$3:$C$8,COUNTIF(Fees!$A$3:$A$8,"&lt;"&amp;E19)+1)))))</f>
        <v/>
      </c>
      <c r="U19" t="str">
        <f>IF(OR(Q19="",K19=""),"",Q19*Settings!$B$3*K19)</f>
        <v/>
      </c>
      <c r="V19" t="str">
        <f>IF(OR(S19="",T19="",U19="",Settings!$B$2=""),"",Settings!$B$2*(S19+T19+U19))</f>
        <v/>
      </c>
      <c r="W19" t="str">
        <f>IF(OR(P19&lt;&gt;"",S19="",T19="",U19="",V19=""),"",D19-S19-T19-U19-V19-I19-J19-N(L19)-N(M19))</f>
        <v/>
      </c>
      <c r="X19" t="str">
        <f>IF(W19="","",W19/D19)</f>
        <v/>
      </c>
      <c r="Y19" t="str">
        <f>IF(O19&lt;&gt;"",O19,IF(OR(D19="",E19=""),"",IF(E19&gt;3,"",IF(D19&lt;=Settings!$B$9,INDEX(Fees!$B$12:$B$17,COUNTIF(Fees!$A$12:$A$17,"&lt;"&amp;E19)+1),INDEX(Fees!$C$12:$C$17,COUNTIF(Fees!$A$12:$A$17,"&lt;"&amp;E19)+1)))))</f>
        <v/>
      </c>
      <c r="Z19" t="str">
        <f>IF(OR(Q19="",K19=""),"",Q19*Settings!$B$4*K19)</f>
        <v/>
      </c>
      <c r="AA19" t="str">
        <f>IF(OR(S19="",Y19="",Z19="",Settings!$B$2=""),"",Settings!$B$2*(S19+Y19+Z19))</f>
        <v/>
      </c>
      <c r="AB19" t="str">
        <f>IF(OR(P19&lt;&gt;"",S19="",Y19="",Z19="",AA19=""),"",D19-S19-Y19-Z19-AA19-I19-J19-N(L19)-N(M19))</f>
        <v/>
      </c>
      <c r="AC19" t="str">
        <f>IF(AB19="","",AB19/D19)</f>
        <v/>
      </c>
    </row>
    <row r="20">
      <c r="A20" t="str">
        <v>LW-SR-108</v>
      </c>
      <c r="B20" t="str">
        <v>Rice Milk Serum</v>
      </c>
      <c r="C20" t="str">
        <v>30 ml (1.00 fl.oz)</v>
      </c>
      <c r="P20" t="str">
        <f>IF(D20="","السعر ","")&amp;IF(E20="","الوزن ","")&amp;IF(COUNT(F20:H20)&lt;3,"الأبعاد ","")&amp;IF(I20="","COGS ","")&amp;IF(J20="","شحن-مستودع ","")&amp;IF(K20="","أشهر-تخزين ","")&amp;IF(Settings!$B$2="","VAT ","")</f>
        <v/>
      </c>
      <c r="Q20" t="str">
        <f>IF(COUNT(F20:H20)=3,F20*G20*H20/Settings!$B$10,"")</f>
        <v/>
      </c>
      <c r="R20" t="str">
        <f>IF(D20="","",IF(D20&lt;=Settings!$B$5,Settings!$B$6,Settings!$B$7))</f>
        <v/>
      </c>
      <c r="S20" t="str">
        <f>IF(D20="","",MAX(Settings!$B$8,R20*D20))</f>
        <v/>
      </c>
      <c r="T20" t="str">
        <f>IF(N20&lt;&gt;"",N20,IF(OR(D20="",E20=""),"",IF(E20&gt;3,"",IF(D20&lt;=Settings!$B$9,INDEX(Fees!$B$3:$B$8,COUNTIF(Fees!$A$3:$A$8,"&lt;"&amp;E20)+1),INDEX(Fees!$C$3:$C$8,COUNTIF(Fees!$A$3:$A$8,"&lt;"&amp;E20)+1)))))</f>
        <v/>
      </c>
      <c r="U20" t="str">
        <f>IF(OR(Q20="",K20=""),"",Q20*Settings!$B$3*K20)</f>
        <v/>
      </c>
      <c r="V20" t="str">
        <f>IF(OR(S20="",T20="",U20="",Settings!$B$2=""),"",Settings!$B$2*(S20+T20+U20))</f>
        <v/>
      </c>
      <c r="W20" t="str">
        <f>IF(OR(P20&lt;&gt;"",S20="",T20="",U20="",V20=""),"",D20-S20-T20-U20-V20-I20-J20-N(L20)-N(M20))</f>
        <v/>
      </c>
      <c r="X20" t="str">
        <f>IF(W20="","",W20/D20)</f>
        <v/>
      </c>
      <c r="Y20" t="str">
        <f>IF(O20&lt;&gt;"",O20,IF(OR(D20="",E20=""),"",IF(E20&gt;3,"",IF(D20&lt;=Settings!$B$9,INDEX(Fees!$B$12:$B$17,COUNTIF(Fees!$A$12:$A$17,"&lt;"&amp;E20)+1),INDEX(Fees!$C$12:$C$17,COUNTIF(Fees!$A$12:$A$17,"&lt;"&amp;E20)+1)))))</f>
        <v/>
      </c>
      <c r="Z20" t="str">
        <f>IF(OR(Q20="",K20=""),"",Q20*Settings!$B$4*K20)</f>
        <v/>
      </c>
      <c r="AA20" t="str">
        <f>IF(OR(S20="",Y20="",Z20="",Settings!$B$2=""),"",Settings!$B$2*(S20+Y20+Z20))</f>
        <v/>
      </c>
      <c r="AB20" t="str">
        <f>IF(OR(P20&lt;&gt;"",S20="",Y20="",Z20="",AA20=""),"",D20-S20-Y20-Z20-AA20-I20-J20-N(L20)-N(M20))</f>
        <v/>
      </c>
      <c r="AC20" t="str">
        <f>IF(AB20="","",AB20/D20)</f>
        <v/>
      </c>
    </row>
    <row r="21">
      <c r="A21" t="str">
        <v>LW-CR-303</v>
      </c>
      <c r="B21" t="str">
        <v>Rice Milk Spot Cream</v>
      </c>
      <c r="C21" t="str">
        <v>50 ml (1.7 fl.oz)</v>
      </c>
      <c r="P21" t="str">
        <f>IF(D21="","السعر ","")&amp;IF(E21="","الوزن ","")&amp;IF(COUNT(F21:H21)&lt;3,"الأبعاد ","")&amp;IF(I21="","COGS ","")&amp;IF(J21="","شحن-مستودع ","")&amp;IF(K21="","أشهر-تخزين ","")&amp;IF(Settings!$B$2="","VAT ","")</f>
        <v/>
      </c>
      <c r="Q21" t="str">
        <f>IF(COUNT(F21:H21)=3,F21*G21*H21/Settings!$B$10,"")</f>
        <v/>
      </c>
      <c r="R21" t="str">
        <f>IF(D21="","",IF(D21&lt;=Settings!$B$5,Settings!$B$6,Settings!$B$7))</f>
        <v/>
      </c>
      <c r="S21" t="str">
        <f>IF(D21="","",MAX(Settings!$B$8,R21*D21))</f>
        <v/>
      </c>
      <c r="T21" t="str">
        <f>IF(N21&lt;&gt;"",N21,IF(OR(D21="",E21=""),"",IF(E21&gt;3,"",IF(D21&lt;=Settings!$B$9,INDEX(Fees!$B$3:$B$8,COUNTIF(Fees!$A$3:$A$8,"&lt;"&amp;E21)+1),INDEX(Fees!$C$3:$C$8,COUNTIF(Fees!$A$3:$A$8,"&lt;"&amp;E21)+1)))))</f>
        <v/>
      </c>
      <c r="U21" t="str">
        <f>IF(OR(Q21="",K21=""),"",Q21*Settings!$B$3*K21)</f>
        <v/>
      </c>
      <c r="V21" t="str">
        <f>IF(OR(S21="",T21="",U21="",Settings!$B$2=""),"",Settings!$B$2*(S21+T21+U21))</f>
        <v/>
      </c>
      <c r="W21" t="str">
        <f>IF(OR(P21&lt;&gt;"",S21="",T21="",U21="",V21=""),"",D21-S21-T21-U21-V21-I21-J21-N(L21)-N(M21))</f>
        <v/>
      </c>
      <c r="X21" t="str">
        <f>IF(W21="","",W21/D21)</f>
        <v/>
      </c>
      <c r="Y21" t="str">
        <f>IF(O21&lt;&gt;"",O21,IF(OR(D21="",E21=""),"",IF(E21&gt;3,"",IF(D21&lt;=Settings!$B$9,INDEX(Fees!$B$12:$B$17,COUNTIF(Fees!$A$12:$A$17,"&lt;"&amp;E21)+1),INDEX(Fees!$C$12:$C$17,COUNTIF(Fees!$A$12:$A$17,"&lt;"&amp;E21)+1)))))</f>
        <v/>
      </c>
      <c r="Z21" t="str">
        <f>IF(OR(Q21="",K21=""),"",Q21*Settings!$B$4*K21)</f>
        <v/>
      </c>
      <c r="AA21" t="str">
        <f>IF(OR(S21="",Y21="",Z21="",Settings!$B$2=""),"",Settings!$B$2*(S21+Y21+Z21))</f>
        <v/>
      </c>
      <c r="AB21" t="str">
        <f>IF(OR(P21&lt;&gt;"",S21="",Y21="",Z21="",AA21=""),"",D21-S21-Y21-Z21-AA21-I21-J21-N(L21)-N(M21))</f>
        <v/>
      </c>
      <c r="AC21" t="str">
        <f>IF(AB21="","",AB21/D21)</f>
        <v/>
      </c>
    </row>
    <row r="22">
      <c r="A22" t="str">
        <v>LW-HR-801</v>
      </c>
      <c r="B22" t="str">
        <v>Rosemary Shampoo</v>
      </c>
      <c r="C22" t="str">
        <v>250 ml (8.45 fl.oz)</v>
      </c>
      <c r="P22" t="str">
        <f>IF(D22="","السعر ","")&amp;IF(E22="","الوزن ","")&amp;IF(COUNT(F22:H22)&lt;3,"الأبعاد ","")&amp;IF(I22="","COGS ","")&amp;IF(J22="","شحن-مستودع ","")&amp;IF(K22="","أشهر-تخزين ","")&amp;IF(Settings!$B$2="","VAT ","")</f>
        <v/>
      </c>
      <c r="Q22" t="str">
        <f>IF(COUNT(F22:H22)=3,F22*G22*H22/Settings!$B$10,"")</f>
        <v/>
      </c>
      <c r="R22" t="str">
        <f>IF(D22="","",IF(D22&lt;=Settings!$B$5,Settings!$B$6,Settings!$B$7))</f>
        <v/>
      </c>
      <c r="S22" t="str">
        <f>IF(D22="","",MAX(Settings!$B$8,R22*D22))</f>
        <v/>
      </c>
      <c r="T22" t="str">
        <f>IF(N22&lt;&gt;"",N22,IF(OR(D22="",E22=""),"",IF(E22&gt;3,"",IF(D22&lt;=Settings!$B$9,INDEX(Fees!$B$3:$B$8,COUNTIF(Fees!$A$3:$A$8,"&lt;"&amp;E22)+1),INDEX(Fees!$C$3:$C$8,COUNTIF(Fees!$A$3:$A$8,"&lt;"&amp;E22)+1)))))</f>
        <v/>
      </c>
      <c r="U22" t="str">
        <f>IF(OR(Q22="",K22=""),"",Q22*Settings!$B$3*K22)</f>
        <v/>
      </c>
      <c r="V22" t="str">
        <f>IF(OR(S22="",T22="",U22="",Settings!$B$2=""),"",Settings!$B$2*(S22+T22+U22))</f>
        <v/>
      </c>
      <c r="W22" t="str">
        <f>IF(OR(P22&lt;&gt;"",S22="",T22="",U22="",V22=""),"",D22-S22-T22-U22-V22-I22-J22-N(L22)-N(M22))</f>
        <v/>
      </c>
      <c r="X22" t="str">
        <f>IF(W22="","",W22/D22)</f>
        <v/>
      </c>
      <c r="Y22" t="str">
        <f>IF(O22&lt;&gt;"",O22,IF(OR(D22="",E22=""),"",IF(E22&gt;3,"",IF(D22&lt;=Settings!$B$9,INDEX(Fees!$B$12:$B$17,COUNTIF(Fees!$A$12:$A$17,"&lt;"&amp;E22)+1),INDEX(Fees!$C$12:$C$17,COUNTIF(Fees!$A$12:$A$17,"&lt;"&amp;E22)+1)))))</f>
        <v/>
      </c>
      <c r="Z22" t="str">
        <f>IF(OR(Q22="",K22=""),"",Q22*Settings!$B$4*K22)</f>
        <v/>
      </c>
      <c r="AA22" t="str">
        <f>IF(OR(S22="",Y22="",Z22="",Settings!$B$2=""),"",Settings!$B$2*(S22+Y22+Z22))</f>
        <v/>
      </c>
      <c r="AB22" t="str">
        <f>IF(OR(P22&lt;&gt;"",S22="",Y22="",Z22="",AA22=""),"",D22-S22-Y22-Z22-AA22-I22-J22-N(L22)-N(M22))</f>
        <v/>
      </c>
      <c r="AC22" t="str">
        <f>IF(AB22="","",AB22/D22)</f>
        <v/>
      </c>
    </row>
    <row r="23">
      <c r="A23" t="str">
        <v>LW-HR-802</v>
      </c>
      <c r="B23" t="str">
        <v>Pure Rosemary Water</v>
      </c>
      <c r="C23" t="str">
        <v>100 ml (3.38 fl.oz)</v>
      </c>
      <c r="P23" t="str">
        <f>IF(D23="","السعر ","")&amp;IF(E23="","الوزن ","")&amp;IF(COUNT(F23:H23)&lt;3,"الأبعاد ","")&amp;IF(I23="","COGS ","")&amp;IF(J23="","شحن-مستودع ","")&amp;IF(K23="","أشهر-تخزين ","")&amp;IF(Settings!$B$2="","VAT ","")</f>
        <v/>
      </c>
      <c r="Q23" t="str">
        <f>IF(COUNT(F23:H23)=3,F23*G23*H23/Settings!$B$10,"")</f>
        <v/>
      </c>
      <c r="R23" t="str">
        <f>IF(D23="","",IF(D23&lt;=Settings!$B$5,Settings!$B$6,Settings!$B$7))</f>
        <v/>
      </c>
      <c r="S23" t="str">
        <f>IF(D23="","",MAX(Settings!$B$8,R23*D23))</f>
        <v/>
      </c>
      <c r="T23" t="str">
        <f>IF(N23&lt;&gt;"",N23,IF(OR(D23="",E23=""),"",IF(E23&gt;3,"",IF(D23&lt;=Settings!$B$9,INDEX(Fees!$B$3:$B$8,COUNTIF(Fees!$A$3:$A$8,"&lt;"&amp;E23)+1),INDEX(Fees!$C$3:$C$8,COUNTIF(Fees!$A$3:$A$8,"&lt;"&amp;E23)+1)))))</f>
        <v/>
      </c>
      <c r="U23" t="str">
        <f>IF(OR(Q23="",K23=""),"",Q23*Settings!$B$3*K23)</f>
        <v/>
      </c>
      <c r="V23" t="str">
        <f>IF(OR(S23="",T23="",U23="",Settings!$B$2=""),"",Settings!$B$2*(S23+T23+U23))</f>
        <v/>
      </c>
      <c r="W23" t="str">
        <f>IF(OR(P23&lt;&gt;"",S23="",T23="",U23="",V23=""),"",D23-S23-T23-U23-V23-I23-J23-N(L23)-N(M23))</f>
        <v/>
      </c>
      <c r="X23" t="str">
        <f>IF(W23="","",W23/D23)</f>
        <v/>
      </c>
      <c r="Y23" t="str">
        <f>IF(O23&lt;&gt;"",O23,IF(OR(D23="",E23=""),"",IF(E23&gt;3,"",IF(D23&lt;=Settings!$B$9,INDEX(Fees!$B$12:$B$17,COUNTIF(Fees!$A$12:$A$17,"&lt;"&amp;E23)+1),INDEX(Fees!$C$12:$C$17,COUNTIF(Fees!$A$12:$A$17,"&lt;"&amp;E23)+1)))))</f>
        <v/>
      </c>
      <c r="Z23" t="str">
        <f>IF(OR(Q23="",K23=""),"",Q23*Settings!$B$4*K23)</f>
        <v/>
      </c>
      <c r="AA23" t="str">
        <f>IF(OR(S23="",Y23="",Z23="",Settings!$B$2=""),"",Settings!$B$2*(S23+Y23+Z23))</f>
        <v/>
      </c>
      <c r="AB23" t="str">
        <f>IF(OR(P23&lt;&gt;"",S23="",Y23="",Z23="",AA23=""),"",D23-S23-Y23-Z23-AA23-I23-J23-N(L23)-N(M23))</f>
        <v/>
      </c>
      <c r="AC23" t="str">
        <f>IF(AB23="","",AB23/D23)</f>
        <v/>
      </c>
    </row>
    <row r="24">
      <c r="A24" t="str">
        <v>LW-HR-803</v>
      </c>
      <c r="B24" t="str">
        <v>Rosemary Hair Oil</v>
      </c>
      <c r="C24" t="str">
        <v>50 ml (1.7 fl.oz)</v>
      </c>
      <c r="P24" t="str">
        <f>IF(D24="","السعر ","")&amp;IF(E24="","الوزن ","")&amp;IF(COUNT(F24:H24)&lt;3,"الأبعاد ","")&amp;IF(I24="","COGS ","")&amp;IF(J24="","شحن-مستودع ","")&amp;IF(K24="","أشهر-تخزين ","")&amp;IF(Settings!$B$2="","VAT ","")</f>
        <v/>
      </c>
      <c r="Q24" t="str">
        <f>IF(COUNT(F24:H24)=3,F24*G24*H24/Settings!$B$10,"")</f>
        <v/>
      </c>
      <c r="R24" t="str">
        <f>IF(D24="","",IF(D24&lt;=Settings!$B$5,Settings!$B$6,Settings!$B$7))</f>
        <v/>
      </c>
      <c r="S24" t="str">
        <f>IF(D24="","",MAX(Settings!$B$8,R24*D24))</f>
        <v/>
      </c>
      <c r="T24" t="str">
        <f>IF(N24&lt;&gt;"",N24,IF(OR(D24="",E24=""),"",IF(E24&gt;3,"",IF(D24&lt;=Settings!$B$9,INDEX(Fees!$B$3:$B$8,COUNTIF(Fees!$A$3:$A$8,"&lt;"&amp;E24)+1),INDEX(Fees!$C$3:$C$8,COUNTIF(Fees!$A$3:$A$8,"&lt;"&amp;E24)+1)))))</f>
        <v/>
      </c>
      <c r="U24" t="str">
        <f>IF(OR(Q24="",K24=""),"",Q24*Settings!$B$3*K24)</f>
        <v/>
      </c>
      <c r="V24" t="str">
        <f>IF(OR(S24="",T24="",U24="",Settings!$B$2=""),"",Settings!$B$2*(S24+T24+U24))</f>
        <v/>
      </c>
      <c r="W24" t="str">
        <f>IF(OR(P24&lt;&gt;"",S24="",T24="",U24="",V24=""),"",D24-S24-T24-U24-V24-I24-J24-N(L24)-N(M24))</f>
        <v/>
      </c>
      <c r="X24" t="str">
        <f>IF(W24="","",W24/D24)</f>
        <v/>
      </c>
      <c r="Y24" t="str">
        <f>IF(O24&lt;&gt;"",O24,IF(OR(D24="",E24=""),"",IF(E24&gt;3,"",IF(D24&lt;=Settings!$B$9,INDEX(Fees!$B$12:$B$17,COUNTIF(Fees!$A$12:$A$17,"&lt;"&amp;E24)+1),INDEX(Fees!$C$12:$C$17,COUNTIF(Fees!$A$12:$A$17,"&lt;"&amp;E24)+1)))))</f>
        <v/>
      </c>
      <c r="Z24" t="str">
        <f>IF(OR(Q24="",K24=""),"",Q24*Settings!$B$4*K24)</f>
        <v/>
      </c>
      <c r="AA24" t="str">
        <f>IF(OR(S24="",Y24="",Z24="",Settings!$B$2=""),"",Settings!$B$2*(S24+Y24+Z24))</f>
        <v/>
      </c>
      <c r="AB24" t="str">
        <f>IF(OR(P24&lt;&gt;"",S24="",Y24="",Z24="",AA24=""),"",D24-S24-Y24-Z24-AA24-I24-J24-N(L24)-N(M24))</f>
        <v/>
      </c>
      <c r="AC24" t="str">
        <f>IF(AB24="","",AB24/D24)</f>
        <v/>
      </c>
    </row>
    <row r="25">
      <c r="A25" t="str">
        <v>LW-MN-901</v>
      </c>
      <c r="B25" t="str">
        <v>Beard Serum</v>
      </c>
      <c r="C25" t="str">
        <v>30 ml (1.00 fl.oz)</v>
      </c>
      <c r="P25" t="str">
        <f>IF(D25="","السعر ","")&amp;IF(E25="","الوزن ","")&amp;IF(COUNT(F25:H25)&lt;3,"الأبعاد ","")&amp;IF(I25="","COGS ","")&amp;IF(J25="","شحن-مستودع ","")&amp;IF(K25="","أشهر-تخزين ","")&amp;IF(Settings!$B$2="","VAT ","")</f>
        <v/>
      </c>
      <c r="Q25" t="str">
        <f>IF(COUNT(F25:H25)=3,F25*G25*H25/Settings!$B$10,"")</f>
        <v/>
      </c>
      <c r="R25" t="str">
        <f>IF(D25="","",IF(D25&lt;=Settings!$B$5,Settings!$B$6,Settings!$B$7))</f>
        <v/>
      </c>
      <c r="S25" t="str">
        <f>IF(D25="","",MAX(Settings!$B$8,R25*D25))</f>
        <v/>
      </c>
      <c r="T25" t="str">
        <f>IF(N25&lt;&gt;"",N25,IF(OR(D25="",E25=""),"",IF(E25&gt;3,"",IF(D25&lt;=Settings!$B$9,INDEX(Fees!$B$3:$B$8,COUNTIF(Fees!$A$3:$A$8,"&lt;"&amp;E25)+1),INDEX(Fees!$C$3:$C$8,COUNTIF(Fees!$A$3:$A$8,"&lt;"&amp;E25)+1)))))</f>
        <v/>
      </c>
      <c r="U25" t="str">
        <f>IF(OR(Q25="",K25=""),"",Q25*Settings!$B$3*K25)</f>
        <v/>
      </c>
      <c r="V25" t="str">
        <f>IF(OR(S25="",T25="",U25="",Settings!$B$2=""),"",Settings!$B$2*(S25+T25+U25))</f>
        <v/>
      </c>
      <c r="W25" t="str">
        <f>IF(OR(P25&lt;&gt;"",S25="",T25="",U25="",V25=""),"",D25-S25-T25-U25-V25-I25-J25-N(L25)-N(M25))</f>
        <v/>
      </c>
      <c r="X25" t="str">
        <f>IF(W25="","",W25/D25)</f>
        <v/>
      </c>
      <c r="Y25" t="str">
        <f>IF(O25&lt;&gt;"",O25,IF(OR(D25="",E25=""),"",IF(E25&gt;3,"",IF(D25&lt;=Settings!$B$9,INDEX(Fees!$B$12:$B$17,COUNTIF(Fees!$A$12:$A$17,"&lt;"&amp;E25)+1),INDEX(Fees!$C$12:$C$17,COUNTIF(Fees!$A$12:$A$17,"&lt;"&amp;E25)+1)))))</f>
        <v/>
      </c>
      <c r="Z25" t="str">
        <f>IF(OR(Q25="",K25=""),"",Q25*Settings!$B$4*K25)</f>
        <v/>
      </c>
      <c r="AA25" t="str">
        <f>IF(OR(S25="",Y25="",Z25="",Settings!$B$2=""),"",Settings!$B$2*(S25+Y25+Z25))</f>
        <v/>
      </c>
      <c r="AB25" t="str">
        <f>IF(OR(P25&lt;&gt;"",S25="",Y25="",Z25="",AA25=""),"",D25-S25-Y25-Z25-AA25-I25-J25-N(L25)-N(M25))</f>
        <v/>
      </c>
      <c r="AC25" t="str">
        <f>IF(AB25="","",AB25/D25)</f>
        <v/>
      </c>
    </row>
    <row r="26">
      <c r="A26" t="str">
        <v>LW-BD-701</v>
      </c>
      <c r="B26" t="str">
        <v>Body Firming Gel</v>
      </c>
      <c r="C26" t="str">
        <v>250 ml (8.45 fl.oz)</v>
      </c>
      <c r="P26" t="str">
        <f>IF(D26="","السعر ","")&amp;IF(E26="","الوزن ","")&amp;IF(COUNT(F26:H26)&lt;3,"الأبعاد ","")&amp;IF(I26="","COGS ","")&amp;IF(J26="","شحن-مستودع ","")&amp;IF(K26="","أشهر-تخزين ","")&amp;IF(Settings!$B$2="","VAT ","")</f>
        <v/>
      </c>
      <c r="Q26" t="str">
        <f>IF(COUNT(F26:H26)=3,F26*G26*H26/Settings!$B$10,"")</f>
        <v/>
      </c>
      <c r="R26" t="str">
        <f>IF(D26="","",IF(D26&lt;=Settings!$B$5,Settings!$B$6,Settings!$B$7))</f>
        <v/>
      </c>
      <c r="S26" t="str">
        <f>IF(D26="","",MAX(Settings!$B$8,R26*D26))</f>
        <v/>
      </c>
      <c r="T26" t="str">
        <f>IF(N26&lt;&gt;"",N26,IF(OR(D26="",E26=""),"",IF(E26&gt;3,"",IF(D26&lt;=Settings!$B$9,INDEX(Fees!$B$3:$B$8,COUNTIF(Fees!$A$3:$A$8,"&lt;"&amp;E26)+1),INDEX(Fees!$C$3:$C$8,COUNTIF(Fees!$A$3:$A$8,"&lt;"&amp;E26)+1)))))</f>
        <v/>
      </c>
      <c r="U26" t="str">
        <f>IF(OR(Q26="",K26=""),"",Q26*Settings!$B$3*K26)</f>
        <v/>
      </c>
      <c r="V26" t="str">
        <f>IF(OR(S26="",T26="",U26="",Settings!$B$2=""),"",Settings!$B$2*(S26+T26+U26))</f>
        <v/>
      </c>
      <c r="W26" t="str">
        <f>IF(OR(P26&lt;&gt;"",S26="",T26="",U26="",V26=""),"",D26-S26-T26-U26-V26-I26-J26-N(L26)-N(M26))</f>
        <v/>
      </c>
      <c r="X26" t="str">
        <f>IF(W26="","",W26/D26)</f>
        <v/>
      </c>
      <c r="Y26" t="str">
        <f>IF(O26&lt;&gt;"",O26,IF(OR(D26="",E26=""),"",IF(E26&gt;3,"",IF(D26&lt;=Settings!$B$9,INDEX(Fees!$B$12:$B$17,COUNTIF(Fees!$A$12:$A$17,"&lt;"&amp;E26)+1),INDEX(Fees!$C$12:$C$17,COUNTIF(Fees!$A$12:$A$17,"&lt;"&amp;E26)+1)))))</f>
        <v/>
      </c>
      <c r="Z26" t="str">
        <f>IF(OR(Q26="",K26=""),"",Q26*Settings!$B$4*K26)</f>
        <v/>
      </c>
      <c r="AA26" t="str">
        <f>IF(OR(S26="",Y26="",Z26="",Settings!$B$2=""),"",Settings!$B$2*(S26+Y26+Z26))</f>
        <v/>
      </c>
      <c r="AB26" t="str">
        <f>IF(OR(P26&lt;&gt;"",S26="",Y26="",Z26="",AA26=""),"",D26-S26-Y26-Z26-AA26-I26-J26-N(L26)-N(M26))</f>
        <v/>
      </c>
      <c r="AC26" t="str">
        <f>IF(AB26="","",AB26/D26)</f>
        <v/>
      </c>
    </row>
    <row r="27">
      <c r="A27" t="str">
        <v>LW-BD-703</v>
      </c>
      <c r="B27" t="str">
        <v>Foot Care Cream</v>
      </c>
      <c r="C27" t="str">
        <v>100 ml (3.38 fl.oz)</v>
      </c>
      <c r="P27" t="str">
        <f>IF(D27="","السعر ","")&amp;IF(E27="","الوزن ","")&amp;IF(COUNT(F27:H27)&lt;3,"الأبعاد ","")&amp;IF(I27="","COGS ","")&amp;IF(J27="","شحن-مستودع ","")&amp;IF(K27="","أشهر-تخزين ","")&amp;IF(Settings!$B$2="","VAT ","")</f>
        <v/>
      </c>
      <c r="Q27" t="str">
        <f>IF(COUNT(F27:H27)=3,F27*G27*H27/Settings!$B$10,"")</f>
        <v/>
      </c>
      <c r="R27" t="str">
        <f>IF(D27="","",IF(D27&lt;=Settings!$B$5,Settings!$B$6,Settings!$B$7))</f>
        <v/>
      </c>
      <c r="S27" t="str">
        <f>IF(D27="","",MAX(Settings!$B$8,R27*D27))</f>
        <v/>
      </c>
      <c r="T27" t="str">
        <f>IF(N27&lt;&gt;"",N27,IF(OR(D27="",E27=""),"",IF(E27&gt;3,"",IF(D27&lt;=Settings!$B$9,INDEX(Fees!$B$3:$B$8,COUNTIF(Fees!$A$3:$A$8,"&lt;"&amp;E27)+1),INDEX(Fees!$C$3:$C$8,COUNTIF(Fees!$A$3:$A$8,"&lt;"&amp;E27)+1)))))</f>
        <v/>
      </c>
      <c r="U27" t="str">
        <f>IF(OR(Q27="",K27=""),"",Q27*Settings!$B$3*K27)</f>
        <v/>
      </c>
      <c r="V27" t="str">
        <f>IF(OR(S27="",T27="",U27="",Settings!$B$2=""),"",Settings!$B$2*(S27+T27+U27))</f>
        <v/>
      </c>
      <c r="W27" t="str">
        <f>IF(OR(P27&lt;&gt;"",S27="",T27="",U27="",V27=""),"",D27-S27-T27-U27-V27-I27-J27-N(L27)-N(M27))</f>
        <v/>
      </c>
      <c r="X27" t="str">
        <f>IF(W27="","",W27/D27)</f>
        <v/>
      </c>
      <c r="Y27" t="str">
        <f>IF(O27&lt;&gt;"",O27,IF(OR(D27="",E27=""),"",IF(E27&gt;3,"",IF(D27&lt;=Settings!$B$9,INDEX(Fees!$B$12:$B$17,COUNTIF(Fees!$A$12:$A$17,"&lt;"&amp;E27)+1),INDEX(Fees!$C$12:$C$17,COUNTIF(Fees!$A$12:$A$17,"&lt;"&amp;E27)+1)))))</f>
        <v/>
      </c>
      <c r="Z27" t="str">
        <f>IF(OR(Q27="",K27=""),"",Q27*Settings!$B$4*K27)</f>
        <v/>
      </c>
      <c r="AA27" t="str">
        <f>IF(OR(S27="",Y27="",Z27="",Settings!$B$2=""),"",Settings!$B$2*(S27+Y27+Z27))</f>
        <v/>
      </c>
      <c r="AB27" t="str">
        <f>IF(OR(P27&lt;&gt;"",S27="",Y27="",Z27="",AA27=""),"",D27-S27-Y27-Z27-AA27-I27-J27-N(L27)-N(M27))</f>
        <v/>
      </c>
      <c r="AC27" t="str">
        <f>IF(AB27="","",AB27/D27)</f>
        <v/>
      </c>
    </row>
  </sheetData>
  <ignoredErrors>
    <ignoredError numberStoredAsText="1" sqref="A1:AC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نموذج صافي الربح لكل منتج — اقرأ أولاً</v>
      </c>
    </row>
    <row r="2">
      <c r="A2" t="str">
        <v>1) أدخل فقط الحقول الزرقاء (D–O). لا تُملأ بتخمين: اترك المجهول فارغاً.</v>
      </c>
    </row>
    <row r="3">
      <c r="A3" t="str">
        <v>2) عمود «الناقص» يعرض ما ينقص قبل أن تُحسب النتيجة؛ لا يُحسب صافي الربح إلا عند اكتمال المدخلات.</v>
      </c>
    </row>
    <row r="4">
      <c r="A4" t="str">
        <v>3) الصافي = السعر − العمولة − شحن/تجهيز المنصة − تخزين − VAT على الرسوم − COGS − شحن للمستودع − إعلانات − أخرى.</v>
      </c>
    </row>
    <row r="5">
      <c r="A5" t="str">
        <v>4) الجداول للشحن القياسي (Standard parcel) حتى 3 كغ؛ غير ذلك: Override يدوي.</v>
      </c>
    </row>
    <row r="6">
      <c r="A6" t="str">
        <v>5) الرسوم من صفحات رسمية بتاريخ 10/10/2026؛ رسوم Amazon قد تكون أقدم (C-17). لا يشمل ضريبة الشركات ولا رسوم تسجيل المنتجات.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Fees</vt:lpstr>
      <vt:lpstr>Products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